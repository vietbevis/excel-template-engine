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45\templates\"/>
    </mc:Choice>
  </mc:AlternateContent>
  <xr:revisionPtr revIDLastSave="0" documentId="13_ncr:1_{AAFAB5B3-AD07-4914-895A-2978236B36EE}" xr6:coauthVersionLast="47" xr6:coauthVersionMax="47" xr10:uidLastSave="{00000000-0000-0000-0000-000000000000}"/>
  <bookViews>
    <workbookView xWindow="-120" yWindow="-120" windowWidth="38640" windowHeight="23520" xr2:uid="{EA21E7F2-7258-4A61-A59F-26C92D63E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L33" i="1"/>
  <c r="J33" i="1"/>
  <c r="G33" i="1"/>
  <c r="F33" i="1"/>
  <c r="E33" i="1"/>
  <c r="D33" i="1"/>
  <c r="AE32" i="1"/>
  <c r="V32" i="1"/>
  <c r="T32" i="1"/>
  <c r="S32" i="1"/>
  <c r="R32" i="1"/>
  <c r="W32" i="1" s="1"/>
  <c r="AE31" i="1"/>
  <c r="V31" i="1"/>
  <c r="T31" i="1"/>
  <c r="Q31" i="1"/>
  <c r="N31" i="1"/>
  <c r="S31" i="1" s="1"/>
  <c r="M31" i="1"/>
  <c r="L31" i="1"/>
  <c r="H31" i="1"/>
  <c r="R31" i="1" s="1"/>
  <c r="AE30" i="1"/>
  <c r="T30" i="1"/>
  <c r="Q30" i="1"/>
  <c r="V30" i="1" s="1"/>
  <c r="V33" i="1" s="1"/>
  <c r="N30" i="1"/>
  <c r="N33" i="1" s="1"/>
  <c r="I30" i="1"/>
  <c r="I33" i="1" s="1"/>
  <c r="H30" i="1"/>
  <c r="H33" i="1" s="1"/>
  <c r="AE29" i="1"/>
  <c r="T29" i="1"/>
  <c r="S29" i="1"/>
  <c r="R29" i="1"/>
  <c r="Q29" i="1"/>
  <c r="V29" i="1" s="1"/>
  <c r="W29" i="1" s="1"/>
  <c r="AE28" i="1"/>
  <c r="V28" i="1"/>
  <c r="T28" i="1"/>
  <c r="S28" i="1"/>
  <c r="R28" i="1"/>
  <c r="W28" i="1" s="1"/>
  <c r="AE27" i="1"/>
  <c r="V27" i="1"/>
  <c r="T27" i="1"/>
  <c r="S27" i="1"/>
  <c r="R27" i="1"/>
  <c r="AE26" i="1"/>
  <c r="V26" i="1"/>
  <c r="T26" i="1"/>
  <c r="S26" i="1"/>
  <c r="R26" i="1"/>
  <c r="G26" i="1"/>
  <c r="AE25" i="1"/>
  <c r="T25" i="1"/>
  <c r="S25" i="1"/>
  <c r="Q25" i="1"/>
  <c r="V25" i="1" s="1"/>
  <c r="M25" i="1"/>
  <c r="L25" i="1"/>
  <c r="AE24" i="1"/>
  <c r="V24" i="1"/>
  <c r="T24" i="1"/>
  <c r="S24" i="1"/>
  <c r="R24" i="1"/>
  <c r="AE23" i="1"/>
  <c r="V23" i="1"/>
  <c r="T23" i="1"/>
  <c r="S23" i="1"/>
  <c r="R23" i="1"/>
  <c r="G23" i="1"/>
  <c r="AE22" i="1"/>
  <c r="V22" i="1"/>
  <c r="T22" i="1"/>
  <c r="S22" i="1"/>
  <c r="R22" i="1"/>
  <c r="W22" i="1" s="1"/>
  <c r="AC22" i="1" s="1"/>
  <c r="O19" i="1"/>
  <c r="J19" i="1"/>
  <c r="F19" i="1"/>
  <c r="E19" i="1"/>
  <c r="D19" i="1"/>
  <c r="R8" i="1"/>
  <c r="S8" i="1"/>
  <c r="T8" i="1"/>
  <c r="V8" i="1"/>
  <c r="AE8" i="1"/>
  <c r="G9" i="1"/>
  <c r="R9" i="1"/>
  <c r="S9" i="1"/>
  <c r="T9" i="1"/>
  <c r="V9" i="1"/>
  <c r="AE9" i="1"/>
  <c r="R10" i="1"/>
  <c r="S10" i="1"/>
  <c r="T10" i="1"/>
  <c r="V10" i="1"/>
  <c r="AE10" i="1"/>
  <c r="L11" i="1"/>
  <c r="M11" i="1"/>
  <c r="R11" i="1" s="1"/>
  <c r="Q11" i="1"/>
  <c r="S11" i="1"/>
  <c r="T11" i="1"/>
  <c r="AE11" i="1"/>
  <c r="G12" i="1"/>
  <c r="R12" i="1"/>
  <c r="S12" i="1"/>
  <c r="T12" i="1"/>
  <c r="V12" i="1"/>
  <c r="AE12" i="1"/>
  <c r="R13" i="1"/>
  <c r="S13" i="1"/>
  <c r="T13" i="1"/>
  <c r="V13" i="1"/>
  <c r="AE13" i="1"/>
  <c r="R14" i="1"/>
  <c r="S14" i="1"/>
  <c r="T14" i="1"/>
  <c r="V14" i="1"/>
  <c r="AE14" i="1"/>
  <c r="Q15" i="1"/>
  <c r="R15" i="1"/>
  <c r="S15" i="1"/>
  <c r="T15" i="1"/>
  <c r="V15" i="1"/>
  <c r="AE15" i="1"/>
  <c r="H16" i="1"/>
  <c r="R16" i="1" s="1"/>
  <c r="I16" i="1"/>
  <c r="I19" i="1" s="1"/>
  <c r="N16" i="1"/>
  <c r="Q16" i="1"/>
  <c r="V16" i="1" s="1"/>
  <c r="T16" i="1"/>
  <c r="AE16" i="1"/>
  <c r="H17" i="1"/>
  <c r="L17" i="1"/>
  <c r="M17" i="1"/>
  <c r="N17" i="1"/>
  <c r="S17" i="1" s="1"/>
  <c r="Q17" i="1"/>
  <c r="V17" i="1" s="1"/>
  <c r="T17" i="1"/>
  <c r="AE17" i="1"/>
  <c r="R18" i="1"/>
  <c r="S18" i="1"/>
  <c r="T18" i="1"/>
  <c r="V18" i="1"/>
  <c r="AE18" i="1"/>
  <c r="AC29" i="1" l="1"/>
  <c r="AD29" i="1" s="1"/>
  <c r="Z29" i="1" s="1"/>
  <c r="AH29" i="1" s="1"/>
  <c r="Y29" i="1"/>
  <c r="AG29" i="1" s="1"/>
  <c r="AD22" i="1"/>
  <c r="X22" i="1" s="1"/>
  <c r="AC28" i="1"/>
  <c r="AD28" i="1" s="1"/>
  <c r="AA28" i="1" s="1"/>
  <c r="AI28" i="1" s="1"/>
  <c r="Z28" i="1"/>
  <c r="AH28" i="1" s="1"/>
  <c r="T33" i="1"/>
  <c r="W23" i="1"/>
  <c r="R30" i="1"/>
  <c r="W30" i="1" s="1"/>
  <c r="W24" i="1"/>
  <c r="W26" i="1"/>
  <c r="R25" i="1"/>
  <c r="W25" i="1" s="1"/>
  <c r="M33" i="1"/>
  <c r="W27" i="1"/>
  <c r="W31" i="1"/>
  <c r="W33" i="1" s="1"/>
  <c r="AC32" i="1"/>
  <c r="AD32" i="1" s="1"/>
  <c r="Y32" i="1" s="1"/>
  <c r="AG32" i="1" s="1"/>
  <c r="X32" i="1"/>
  <c r="AF32" i="1" s="1"/>
  <c r="AA32" i="1"/>
  <c r="AI32" i="1" s="1"/>
  <c r="Z32" i="1"/>
  <c r="AH32" i="1" s="1"/>
  <c r="Q33" i="1"/>
  <c r="S30" i="1"/>
  <c r="S33" i="1" s="1"/>
  <c r="R33" i="1"/>
  <c r="G19" i="1"/>
  <c r="R17" i="1"/>
  <c r="R19" i="1" s="1"/>
  <c r="W15" i="1"/>
  <c r="W18" i="1"/>
  <c r="AC18" i="1" s="1"/>
  <c r="AD18" i="1" s="1"/>
  <c r="Q19" i="1"/>
  <c r="L19" i="1"/>
  <c r="S16" i="1"/>
  <c r="S19" i="1" s="1"/>
  <c r="T19" i="1"/>
  <c r="H19" i="1"/>
  <c r="W14" i="1"/>
  <c r="AC14" i="1" s="1"/>
  <c r="AD14" i="1" s="1"/>
  <c r="Z14" i="1" s="1"/>
  <c r="AH14" i="1" s="1"/>
  <c r="V11" i="1"/>
  <c r="V19" i="1" s="1"/>
  <c r="N19" i="1"/>
  <c r="W9" i="1"/>
  <c r="AC9" i="1" s="1"/>
  <c r="AD9" i="1" s="1"/>
  <c r="M19" i="1"/>
  <c r="AC15" i="1"/>
  <c r="AD15" i="1" s="1"/>
  <c r="Y15" i="1" s="1"/>
  <c r="AG15" i="1" s="1"/>
  <c r="W13" i="1"/>
  <c r="W12" i="1"/>
  <c r="W8" i="1"/>
  <c r="W10" i="1"/>
  <c r="AF22" i="1" l="1"/>
  <c r="X25" i="1"/>
  <c r="AF25" i="1" s="1"/>
  <c r="AA25" i="1"/>
  <c r="AI25" i="1" s="1"/>
  <c r="Z25" i="1"/>
  <c r="AH25" i="1" s="1"/>
  <c r="AC25" i="1"/>
  <c r="AD25" i="1" s="1"/>
  <c r="Y25" i="1"/>
  <c r="AG25" i="1" s="1"/>
  <c r="Z30" i="1"/>
  <c r="AH30" i="1" s="1"/>
  <c r="AC30" i="1"/>
  <c r="AD30" i="1" s="1"/>
  <c r="Y30" i="1" s="1"/>
  <c r="AG30" i="1" s="1"/>
  <c r="X30" i="1"/>
  <c r="AF30" i="1" s="1"/>
  <c r="AA30" i="1"/>
  <c r="AI30" i="1" s="1"/>
  <c r="AA22" i="1"/>
  <c r="Z24" i="1"/>
  <c r="AH24" i="1" s="1"/>
  <c r="Y24" i="1"/>
  <c r="AG24" i="1" s="1"/>
  <c r="X24" i="1"/>
  <c r="AF24" i="1" s="1"/>
  <c r="AC24" i="1"/>
  <c r="AD24" i="1" s="1"/>
  <c r="X28" i="1"/>
  <c r="AF28" i="1" s="1"/>
  <c r="AA29" i="1"/>
  <c r="AI29" i="1" s="1"/>
  <c r="AC31" i="1"/>
  <c r="AD31" i="1" s="1"/>
  <c r="Y31" i="1" s="1"/>
  <c r="AG31" i="1" s="1"/>
  <c r="X31" i="1"/>
  <c r="AF31" i="1" s="1"/>
  <c r="AA31" i="1"/>
  <c r="AI31" i="1" s="1"/>
  <c r="Z31" i="1"/>
  <c r="AH31" i="1" s="1"/>
  <c r="AK22" i="1"/>
  <c r="Z22" i="1"/>
  <c r="AC27" i="1"/>
  <c r="AD27" i="1" s="1"/>
  <c r="AK28" i="1"/>
  <c r="AL28" i="1" s="1"/>
  <c r="AK29" i="1"/>
  <c r="AL29" i="1" s="1"/>
  <c r="AK32" i="1"/>
  <c r="AL32" i="1" s="1"/>
  <c r="AB32" i="1"/>
  <c r="AJ32" i="1" s="1"/>
  <c r="Y22" i="1"/>
  <c r="AB22" i="1" s="1"/>
  <c r="Y26" i="1"/>
  <c r="AG26" i="1" s="1"/>
  <c r="Z26" i="1"/>
  <c r="AH26" i="1" s="1"/>
  <c r="AC26" i="1"/>
  <c r="AD26" i="1" s="1"/>
  <c r="AA26" i="1" s="1"/>
  <c r="AI26" i="1" s="1"/>
  <c r="X26" i="1"/>
  <c r="AF26" i="1" s="1"/>
  <c r="AC23" i="1"/>
  <c r="Y28" i="1"/>
  <c r="AG28" i="1" s="1"/>
  <c r="X29" i="1"/>
  <c r="AF29" i="1" s="1"/>
  <c r="W16" i="1"/>
  <c r="W17" i="1"/>
  <c r="Y18" i="1"/>
  <c r="AG18" i="1" s="1"/>
  <c r="W11" i="1"/>
  <c r="AC11" i="1" s="1"/>
  <c r="AD11" i="1" s="1"/>
  <c r="X11" i="1" s="1"/>
  <c r="AF11" i="1" s="1"/>
  <c r="AC16" i="1"/>
  <c r="AD16" i="1" s="1"/>
  <c r="Z16" i="1" s="1"/>
  <c r="AH16" i="1" s="1"/>
  <c r="Z15" i="1"/>
  <c r="AH15" i="1" s="1"/>
  <c r="AA14" i="1"/>
  <c r="AI14" i="1" s="1"/>
  <c r="AK9" i="1"/>
  <c r="AL9" i="1" s="1"/>
  <c r="Y9" i="1"/>
  <c r="AG9" i="1" s="1"/>
  <c r="AK18" i="1"/>
  <c r="AL18" i="1" s="1"/>
  <c r="AC12" i="1"/>
  <c r="AD12" i="1" s="1"/>
  <c r="AA12" i="1" s="1"/>
  <c r="AI12" i="1" s="1"/>
  <c r="X14" i="1"/>
  <c r="AF14" i="1" s="1"/>
  <c r="AA15" i="1"/>
  <c r="AI15" i="1" s="1"/>
  <c r="AA18" i="1"/>
  <c r="AI18" i="1" s="1"/>
  <c r="X9" i="1"/>
  <c r="AF9" i="1" s="1"/>
  <c r="Z9" i="1"/>
  <c r="AH9" i="1" s="1"/>
  <c r="AC10" i="1"/>
  <c r="AD10" i="1" s="1"/>
  <c r="Y10" i="1" s="1"/>
  <c r="AG10" i="1" s="1"/>
  <c r="X10" i="1"/>
  <c r="AF10" i="1" s="1"/>
  <c r="AC13" i="1"/>
  <c r="AD13" i="1" s="1"/>
  <c r="AK15" i="1"/>
  <c r="AL15" i="1" s="1"/>
  <c r="AC8" i="1"/>
  <c r="AK14" i="1"/>
  <c r="AL14" i="1" s="1"/>
  <c r="Y14" i="1"/>
  <c r="AG14" i="1" s="1"/>
  <c r="AA9" i="1"/>
  <c r="AI9" i="1" s="1"/>
  <c r="X15" i="1"/>
  <c r="AF15" i="1" s="1"/>
  <c r="Z18" i="1"/>
  <c r="AH18" i="1" s="1"/>
  <c r="X18" i="1"/>
  <c r="AF18" i="1" s="1"/>
  <c r="AJ22" i="1" l="1"/>
  <c r="AB28" i="1"/>
  <c r="AJ28" i="1" s="1"/>
  <c r="AK27" i="1"/>
  <c r="AL27" i="1" s="1"/>
  <c r="AB27" i="1"/>
  <c r="AJ27" i="1" s="1"/>
  <c r="AL22" i="1"/>
  <c r="AD23" i="1"/>
  <c r="AC33" i="1"/>
  <c r="AB29" i="1"/>
  <c r="AJ29" i="1" s="1"/>
  <c r="X27" i="1"/>
  <c r="AF27" i="1" s="1"/>
  <c r="AA27" i="1"/>
  <c r="AI27" i="1" s="1"/>
  <c r="AB24" i="1"/>
  <c r="AJ24" i="1" s="1"/>
  <c r="AK24" i="1"/>
  <c r="AL24" i="1" s="1"/>
  <c r="AA24" i="1"/>
  <c r="AI24" i="1" s="1"/>
  <c r="AB25" i="1"/>
  <c r="AJ25" i="1" s="1"/>
  <c r="AK25" i="1"/>
  <c r="AL25" i="1" s="1"/>
  <c r="Z27" i="1"/>
  <c r="AH27" i="1" s="1"/>
  <c r="AK26" i="1"/>
  <c r="AL26" i="1" s="1"/>
  <c r="AB26" i="1"/>
  <c r="AJ26" i="1" s="1"/>
  <c r="AG22" i="1"/>
  <c r="Y27" i="1"/>
  <c r="AG27" i="1" s="1"/>
  <c r="AH22" i="1"/>
  <c r="AK31" i="1"/>
  <c r="AL31" i="1" s="1"/>
  <c r="AB31" i="1"/>
  <c r="AJ31" i="1" s="1"/>
  <c r="AI22" i="1"/>
  <c r="AK30" i="1"/>
  <c r="AL30" i="1" s="1"/>
  <c r="AB30" i="1"/>
  <c r="AJ30" i="1" s="1"/>
  <c r="W19" i="1"/>
  <c r="X16" i="1"/>
  <c r="AF16" i="1" s="1"/>
  <c r="AK16" i="1"/>
  <c r="AL16" i="1" s="1"/>
  <c r="AC17" i="1"/>
  <c r="AD17" i="1" s="1"/>
  <c r="Z17" i="1" s="1"/>
  <c r="AH17" i="1" s="1"/>
  <c r="Y16" i="1"/>
  <c r="AG16" i="1" s="1"/>
  <c r="AA16" i="1"/>
  <c r="AI16" i="1" s="1"/>
  <c r="Z10" i="1"/>
  <c r="AH10" i="1" s="1"/>
  <c r="Y12" i="1"/>
  <c r="AG12" i="1" s="1"/>
  <c r="AB18" i="1"/>
  <c r="AJ18" i="1" s="1"/>
  <c r="X12" i="1"/>
  <c r="AF12" i="1" s="1"/>
  <c r="AB14" i="1"/>
  <c r="AJ14" i="1" s="1"/>
  <c r="Y11" i="1"/>
  <c r="AG11" i="1" s="1"/>
  <c r="AK13" i="1"/>
  <c r="AL13" i="1" s="1"/>
  <c r="Y13" i="1"/>
  <c r="AG13" i="1" s="1"/>
  <c r="Z13" i="1"/>
  <c r="AH13" i="1" s="1"/>
  <c r="AK12" i="1"/>
  <c r="AL12" i="1" s="1"/>
  <c r="Z12" i="1"/>
  <c r="AH12" i="1" s="1"/>
  <c r="AB15" i="1"/>
  <c r="AJ15" i="1" s="1"/>
  <c r="AA13" i="1"/>
  <c r="AI13" i="1" s="1"/>
  <c r="AK11" i="1"/>
  <c r="AL11" i="1" s="1"/>
  <c r="AK10" i="1"/>
  <c r="AL10" i="1" s="1"/>
  <c r="AD8" i="1"/>
  <c r="X13" i="1"/>
  <c r="AF13" i="1" s="1"/>
  <c r="Z11" i="1"/>
  <c r="AH11" i="1" s="1"/>
  <c r="AA11" i="1"/>
  <c r="AI11" i="1" s="1"/>
  <c r="AA10" i="1"/>
  <c r="AI10" i="1" s="1"/>
  <c r="AB9" i="1"/>
  <c r="AJ9" i="1" s="1"/>
  <c r="AK23" i="1" l="1"/>
  <c r="Y23" i="1"/>
  <c r="Z23" i="1"/>
  <c r="X23" i="1"/>
  <c r="AD33" i="1"/>
  <c r="AA23" i="1"/>
  <c r="AD19" i="1"/>
  <c r="AA17" i="1"/>
  <c r="AI17" i="1" s="1"/>
  <c r="AC19" i="1"/>
  <c r="AK17" i="1"/>
  <c r="AL17" i="1" s="1"/>
  <c r="Y17" i="1"/>
  <c r="AG17" i="1" s="1"/>
  <c r="X17" i="1"/>
  <c r="AF17" i="1" s="1"/>
  <c r="AB16" i="1"/>
  <c r="AJ16" i="1" s="1"/>
  <c r="AK8" i="1"/>
  <c r="AK19" i="1" s="1"/>
  <c r="AL19" i="1" s="1"/>
  <c r="AA8" i="1"/>
  <c r="AA19" i="1" s="1"/>
  <c r="X8" i="1"/>
  <c r="Y8" i="1"/>
  <c r="Z8" i="1"/>
  <c r="Z19" i="1" s="1"/>
  <c r="AB12" i="1"/>
  <c r="AJ12" i="1" s="1"/>
  <c r="AB13" i="1"/>
  <c r="AJ13" i="1" s="1"/>
  <c r="AB11" i="1"/>
  <c r="AJ11" i="1" s="1"/>
  <c r="AB10" i="1"/>
  <c r="AJ10" i="1" s="1"/>
  <c r="AI23" i="1" l="1"/>
  <c r="AI33" i="1" s="1"/>
  <c r="AA33" i="1"/>
  <c r="AG23" i="1"/>
  <c r="AG33" i="1" s="1"/>
  <c r="Y33" i="1"/>
  <c r="AL23" i="1"/>
  <c r="AK33" i="1"/>
  <c r="AL33" i="1" s="1"/>
  <c r="AH23" i="1"/>
  <c r="AH33" i="1" s="1"/>
  <c r="Z33" i="1"/>
  <c r="AF23" i="1"/>
  <c r="AF33" i="1" s="1"/>
  <c r="X33" i="1"/>
  <c r="AB23" i="1"/>
  <c r="Y19" i="1"/>
  <c r="AB17" i="1"/>
  <c r="AJ17" i="1" s="1"/>
  <c r="X19" i="1"/>
  <c r="AG8" i="1"/>
  <c r="AG19" i="1" s="1"/>
  <c r="AL8" i="1"/>
  <c r="AI8" i="1"/>
  <c r="AI19" i="1" s="1"/>
  <c r="AH8" i="1"/>
  <c r="AH19" i="1" s="1"/>
  <c r="AF8" i="1"/>
  <c r="AF19" i="1" s="1"/>
  <c r="AB8" i="1"/>
  <c r="AJ23" i="1" l="1"/>
  <c r="AJ33" i="1" s="1"/>
  <c r="AB33" i="1"/>
  <c r="AB19" i="1"/>
  <c r="AJ8" i="1"/>
  <c r="AJ19" i="1" s="1"/>
</calcChain>
</file>

<file path=xl/sharedStrings.xml><?xml version="1.0" encoding="utf-8"?>
<sst xmlns="http://schemas.openxmlformats.org/spreadsheetml/2006/main" count="83" uniqueCount="47">
  <si>
    <t>DANH SÁCH GIẢNG VIÊN VƯỢT GIỜ NĂM 2024 - 2025</t>
  </si>
  <si>
    <t>KHOA CÔNG NGHỆ THÔNG TIN</t>
  </si>
  <si>
    <t>STT</t>
  </si>
  <si>
    <t>Họ tên Giảng viên</t>
  </si>
  <si>
    <t>Thu nhập (lương thực nhận, không tính phụ cấp học hàm, học vị)</t>
  </si>
  <si>
    <t>Định mức giờ giảng</t>
  </si>
  <si>
    <t>Được
 giảm</t>
  </si>
  <si>
    <t>Số tiết chưa hoàn thành NCKH</t>
  </si>
  <si>
    <t>Định mức phải giảng</t>
  </si>
  <si>
    <t>Thực tế giảng dạy + coi, ra đề, chấm thi</t>
  </si>
  <si>
    <t>Số Tiết vượt định mức</t>
  </si>
  <si>
    <t>Mức TT
chuẩn</t>
  </si>
  <si>
    <t>Thành tiền</t>
  </si>
  <si>
    <t>Thực nhận</t>
  </si>
  <si>
    <t>Học kỳ I</t>
  </si>
  <si>
    <t>Học kỳ II</t>
  </si>
  <si>
    <t>Cả năm</t>
  </si>
  <si>
    <t>VN</t>
  </si>
  <si>
    <t>Lào</t>
  </si>
  <si>
    <t>Cuba</t>
  </si>
  <si>
    <t>CPC</t>
  </si>
  <si>
    <t>Đóng
 HP</t>
  </si>
  <si>
    <t>Tổng</t>
  </si>
  <si>
    <t>Tổng T.Toán</t>
  </si>
  <si>
    <t>Phạm Văn Hưởng</t>
  </si>
  <si>
    <t>Nguyễn Văn Phác</t>
  </si>
  <si>
    <t>Bùi Thu Lâm</t>
  </si>
  <si>
    <t>Lê Bá Cường</t>
  </si>
  <si>
    <t>Thái Thị Thanh Vân</t>
  </si>
  <si>
    <t>Lê Đức Thuận</t>
  </si>
  <si>
    <t>Lê Thị Hồng Vân</t>
  </si>
  <si>
    <t>Cao Thanh Vinh</t>
  </si>
  <si>
    <t>Lê Anh Tiến</t>
  </si>
  <si>
    <t>Kiều Thu Huyền</t>
  </si>
  <si>
    <t>Nguyễn Đức Hiếu</t>
  </si>
  <si>
    <t>Tổng cộng</t>
  </si>
  <si>
    <t>Bằng chữ:</t>
  </si>
  <si>
    <t>Ba trăm năm mươi bảy triệu không trăm mười hai ngàn hai trăm năm mươi đồng</t>
  </si>
  <si>
    <t>Trưởng phòng Đào tạo</t>
  </si>
  <si>
    <t>Người lập biểu</t>
  </si>
  <si>
    <t xml:space="preserve">                                               </t>
  </si>
  <si>
    <t>Đỗ Quang Trung</t>
  </si>
  <si>
    <t>Vương Thị Dung</t>
  </si>
  <si>
    <t>I</t>
  </si>
  <si>
    <t>KHOA MẬT MÃ</t>
  </si>
  <si>
    <t>II</t>
  </si>
  <si>
    <t>KHOA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</si>
</sst>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00"/>
    <numFmt numFmtId="168" formatCode="#,##0.0"/>
    <numFmt numFmtId="169" formatCode="_(* #,##0.00_);_(* \(#,##0.00\);_(* &quot;-&quot;??.0_);_(@_)"/>
    <numFmt numFmtId="170" formatCode="_(* #,##0.000_);_(* \(#,##0.00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sz val="9"/>
      <color theme="1"/>
      <name val="Aptos Narrow"/>
      <family val="2"/>
      <scheme val="minor"/>
    </font>
    <font>
      <b/>
      <sz val="8"/>
      <color theme="1"/>
      <name val="Times New Roman"/>
      <family val="1"/>
      <charset val="163"/>
    </font>
    <font>
      <b/>
      <sz val="7"/>
      <color theme="1"/>
      <name val="Times New Roman"/>
      <family val="1"/>
      <charset val="163"/>
    </font>
    <font>
      <b/>
      <sz val="6"/>
      <color theme="1"/>
      <name val="Times New Roman"/>
      <family val="1"/>
      <charset val="163"/>
    </font>
    <font>
      <sz val="9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9"/>
      <color theme="1"/>
      <name val="Times New Roman"/>
      <family val="1"/>
    </font>
    <font>
      <sz val="6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  <charset val="163"/>
    </font>
    <font>
      <i/>
      <sz val="9"/>
      <color theme="1"/>
      <name val="Times New Roman"/>
      <family val="1"/>
    </font>
    <font>
      <i/>
      <sz val="14"/>
      <color theme="1"/>
      <name val="Times New Roman"/>
      <family val="1"/>
    </font>
    <font>
      <i/>
      <sz val="14"/>
      <color theme="1"/>
      <name val=".VnTime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3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43" fontId="11" fillId="0" borderId="10" xfId="0" applyNumberFormat="1" applyFont="1" applyBorder="1" applyAlignment="1">
      <alignment horizontal="center" vertical="center" wrapText="1"/>
    </xf>
    <xf numFmtId="165" fontId="11" fillId="0" borderId="10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 wrapText="1"/>
    </xf>
    <xf numFmtId="2" fontId="11" fillId="0" borderId="10" xfId="0" applyNumberFormat="1" applyFont="1" applyBorder="1" applyAlignment="1">
      <alignment vertical="center"/>
    </xf>
    <xf numFmtId="167" fontId="11" fillId="0" borderId="10" xfId="0" applyNumberFormat="1" applyFont="1" applyBorder="1" applyAlignment="1">
      <alignment vertical="center"/>
    </xf>
    <xf numFmtId="168" fontId="11" fillId="0" borderId="10" xfId="0" applyNumberFormat="1" applyFont="1" applyBorder="1" applyAlignment="1">
      <alignment vertical="center"/>
    </xf>
    <xf numFmtId="3" fontId="9" fillId="0" borderId="11" xfId="0" applyNumberFormat="1" applyFont="1" applyBorder="1" applyAlignment="1">
      <alignment vertical="center"/>
    </xf>
    <xf numFmtId="3" fontId="9" fillId="0" borderId="2" xfId="0" applyNumberFormat="1" applyFont="1" applyBorder="1" applyAlignment="1">
      <alignment vertical="center"/>
    </xf>
    <xf numFmtId="169" fontId="12" fillId="0" borderId="10" xfId="0" applyNumberFormat="1" applyFont="1" applyBorder="1" applyAlignment="1">
      <alignment horizontal="center" vertical="center" wrapText="1"/>
    </xf>
    <xf numFmtId="2" fontId="13" fillId="0" borderId="10" xfId="0" applyNumberFormat="1" applyFont="1" applyBorder="1" applyAlignment="1">
      <alignment vertical="center"/>
    </xf>
    <xf numFmtId="2" fontId="13" fillId="2" borderId="10" xfId="0" applyNumberFormat="1" applyFont="1" applyFill="1" applyBorder="1" applyAlignment="1">
      <alignment vertical="center"/>
    </xf>
    <xf numFmtId="2" fontId="11" fillId="2" borderId="10" xfId="0" applyNumberFormat="1" applyFont="1" applyFill="1" applyBorder="1" applyAlignment="1">
      <alignment vertical="center"/>
    </xf>
    <xf numFmtId="167" fontId="11" fillId="2" borderId="10" xfId="0" applyNumberFormat="1" applyFont="1" applyFill="1" applyBorder="1" applyAlignment="1">
      <alignment vertical="center"/>
    </xf>
    <xf numFmtId="168" fontId="11" fillId="2" borderId="10" xfId="0" applyNumberFormat="1" applyFont="1" applyFill="1" applyBorder="1" applyAlignment="1">
      <alignment vertical="center"/>
    </xf>
    <xf numFmtId="43" fontId="14" fillId="0" borderId="10" xfId="0" applyNumberFormat="1" applyFont="1" applyBorder="1" applyAlignment="1">
      <alignment horizontal="center" vertical="center" wrapText="1"/>
    </xf>
    <xf numFmtId="43" fontId="13" fillId="0" borderId="10" xfId="0" applyNumberFormat="1" applyFont="1" applyBorder="1" applyAlignment="1">
      <alignment horizontal="center" vertical="center" wrapText="1"/>
    </xf>
    <xf numFmtId="170" fontId="11" fillId="0" borderId="10" xfId="0" applyNumberFormat="1" applyFont="1" applyBorder="1" applyAlignment="1">
      <alignment horizontal="center" vertical="center" wrapText="1"/>
    </xf>
    <xf numFmtId="166" fontId="11" fillId="0" borderId="10" xfId="0" applyNumberFormat="1" applyFont="1" applyBorder="1" applyAlignment="1">
      <alignment horizontal="center" vertical="center" wrapText="1"/>
    </xf>
    <xf numFmtId="39" fontId="11" fillId="0" borderId="10" xfId="0" applyNumberFormat="1" applyFont="1" applyBorder="1" applyAlignment="1">
      <alignment horizontal="center" vertical="center" wrapText="1"/>
    </xf>
    <xf numFmtId="166" fontId="7" fillId="0" borderId="12" xfId="1" applyNumberFormat="1" applyFont="1" applyFill="1" applyBorder="1" applyAlignment="1">
      <alignment vertical="center"/>
    </xf>
    <xf numFmtId="166" fontId="15" fillId="0" borderId="12" xfId="1" applyNumberFormat="1" applyFont="1" applyFill="1" applyBorder="1" applyAlignment="1">
      <alignment vertical="center"/>
    </xf>
    <xf numFmtId="3" fontId="6" fillId="0" borderId="12" xfId="1" applyNumberFormat="1" applyFont="1" applyFill="1" applyBorder="1" applyAlignment="1">
      <alignment horizontal="right" vertical="center"/>
    </xf>
    <xf numFmtId="3" fontId="15" fillId="0" borderId="2" xfId="0" applyNumberFormat="1" applyFont="1" applyBorder="1" applyAlignment="1">
      <alignment vertical="center"/>
    </xf>
    <xf numFmtId="0" fontId="16" fillId="0" borderId="0" xfId="0" applyFont="1" applyAlignment="1">
      <alignment horizontal="center"/>
    </xf>
    <xf numFmtId="0" fontId="3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4" xfId="0" applyFont="1" applyBorder="1" applyAlignment="1">
      <alignment horizontal="right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BD5C-5C25-42A1-B436-195C15CD121E}">
  <dimension ref="A1:AL42"/>
  <sheetViews>
    <sheetView tabSelected="1" workbookViewId="0">
      <selection activeCell="Z6" sqref="Z6"/>
    </sheetView>
  </sheetViews>
  <sheetFormatPr defaultRowHeight="15"/>
  <sheetData>
    <row r="1" spans="1:38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8.7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3"/>
      <c r="AI3" s="3"/>
      <c r="AJ3" s="3"/>
      <c r="AK3" s="3"/>
      <c r="AL3" s="3"/>
    </row>
    <row r="4" spans="1:38">
      <c r="A4" s="5" t="s">
        <v>2</v>
      </c>
      <c r="B4" s="5" t="s">
        <v>3</v>
      </c>
      <c r="C4" s="6" t="s">
        <v>4</v>
      </c>
      <c r="D4" s="7" t="s">
        <v>5</v>
      </c>
      <c r="E4" s="7" t="s">
        <v>6</v>
      </c>
      <c r="F4" s="8" t="s">
        <v>7</v>
      </c>
      <c r="G4" s="7" t="s">
        <v>8</v>
      </c>
      <c r="H4" s="59" t="s">
        <v>9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  <c r="X4" s="9" t="s">
        <v>10</v>
      </c>
      <c r="Y4" s="10"/>
      <c r="Z4" s="10"/>
      <c r="AA4" s="10"/>
      <c r="AB4" s="10"/>
      <c r="AC4" s="10"/>
      <c r="AD4" s="11"/>
      <c r="AE4" s="7" t="s">
        <v>11</v>
      </c>
      <c r="AF4" s="9" t="s">
        <v>12</v>
      </c>
      <c r="AG4" s="10"/>
      <c r="AH4" s="10"/>
      <c r="AI4" s="10"/>
      <c r="AJ4" s="10"/>
      <c r="AK4" s="11"/>
      <c r="AL4" s="7" t="s">
        <v>13</v>
      </c>
    </row>
    <row r="5" spans="1:38">
      <c r="A5" s="12"/>
      <c r="B5" s="12"/>
      <c r="C5" s="64"/>
      <c r="D5" s="17"/>
      <c r="E5" s="17"/>
      <c r="F5" s="13"/>
      <c r="G5" s="17"/>
      <c r="H5" s="59" t="s">
        <v>14</v>
      </c>
      <c r="I5" s="60"/>
      <c r="J5" s="60"/>
      <c r="K5" s="60"/>
      <c r="L5" s="61"/>
      <c r="M5" s="59" t="s">
        <v>15</v>
      </c>
      <c r="N5" s="60"/>
      <c r="O5" s="60"/>
      <c r="P5" s="60"/>
      <c r="Q5" s="61"/>
      <c r="R5" s="59" t="s">
        <v>16</v>
      </c>
      <c r="S5" s="60"/>
      <c r="T5" s="60"/>
      <c r="U5" s="60"/>
      <c r="V5" s="60"/>
      <c r="W5" s="61"/>
      <c r="X5" s="14"/>
      <c r="Y5" s="15"/>
      <c r="Z5" s="15"/>
      <c r="AA5" s="15"/>
      <c r="AB5" s="15"/>
      <c r="AC5" s="15"/>
      <c r="AD5" s="16"/>
      <c r="AE5" s="17"/>
      <c r="AF5" s="14"/>
      <c r="AG5" s="15"/>
      <c r="AH5" s="15"/>
      <c r="AI5" s="15"/>
      <c r="AJ5" s="15"/>
      <c r="AK5" s="16"/>
      <c r="AL5" s="17"/>
    </row>
    <row r="6" spans="1:38" ht="21">
      <c r="A6" s="66"/>
      <c r="B6" s="66"/>
      <c r="C6" s="65"/>
      <c r="D6" s="62"/>
      <c r="E6" s="62"/>
      <c r="F6" s="63"/>
      <c r="G6" s="62"/>
      <c r="H6" s="18" t="s">
        <v>17</v>
      </c>
      <c r="I6" s="18" t="s">
        <v>18</v>
      </c>
      <c r="J6" s="18" t="s">
        <v>19</v>
      </c>
      <c r="K6" s="19" t="s">
        <v>20</v>
      </c>
      <c r="L6" s="20" t="s">
        <v>21</v>
      </c>
      <c r="M6" s="18" t="s">
        <v>17</v>
      </c>
      <c r="N6" s="18" t="s">
        <v>18</v>
      </c>
      <c r="O6" s="18" t="s">
        <v>19</v>
      </c>
      <c r="P6" s="19" t="s">
        <v>20</v>
      </c>
      <c r="Q6" s="20" t="s">
        <v>21</v>
      </c>
      <c r="R6" s="18" t="s">
        <v>17</v>
      </c>
      <c r="S6" s="18" t="s">
        <v>18</v>
      </c>
      <c r="T6" s="18" t="s">
        <v>19</v>
      </c>
      <c r="U6" s="19" t="s">
        <v>20</v>
      </c>
      <c r="V6" s="20" t="s">
        <v>21</v>
      </c>
      <c r="W6" s="18" t="s">
        <v>22</v>
      </c>
      <c r="X6" s="21" t="s">
        <v>17</v>
      </c>
      <c r="Y6" s="18" t="s">
        <v>18</v>
      </c>
      <c r="Z6" s="21" t="s">
        <v>19</v>
      </c>
      <c r="AA6" s="18" t="s">
        <v>20</v>
      </c>
      <c r="AB6" s="20" t="s">
        <v>21</v>
      </c>
      <c r="AC6" s="20" t="s">
        <v>22</v>
      </c>
      <c r="AD6" s="20" t="s">
        <v>23</v>
      </c>
      <c r="AE6" s="62"/>
      <c r="AF6" s="22" t="s">
        <v>17</v>
      </c>
      <c r="AG6" s="22" t="s">
        <v>18</v>
      </c>
      <c r="AH6" s="22" t="s">
        <v>19</v>
      </c>
      <c r="AI6" s="19" t="s">
        <v>20</v>
      </c>
      <c r="AJ6" s="22" t="s">
        <v>21</v>
      </c>
      <c r="AK6" s="23" t="s">
        <v>22</v>
      </c>
      <c r="AL6" s="67"/>
    </row>
    <row r="7" spans="1:38">
      <c r="A7" s="71" t="s">
        <v>43</v>
      </c>
      <c r="B7" s="72" t="s">
        <v>46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</row>
    <row r="8" spans="1:38" ht="25.5">
      <c r="A8" s="24">
        <v>1</v>
      </c>
      <c r="B8" s="25" t="s">
        <v>24</v>
      </c>
      <c r="C8" s="26">
        <v>22541435</v>
      </c>
      <c r="D8" s="27">
        <v>270</v>
      </c>
      <c r="E8" s="28">
        <v>81</v>
      </c>
      <c r="F8" s="28">
        <v>0</v>
      </c>
      <c r="G8" s="29">
        <v>189</v>
      </c>
      <c r="H8" s="28">
        <v>0</v>
      </c>
      <c r="I8" s="28">
        <v>0</v>
      </c>
      <c r="J8" s="28">
        <v>0</v>
      </c>
      <c r="K8" s="30">
        <v>0</v>
      </c>
      <c r="L8" s="28">
        <v>36.299999999999997</v>
      </c>
      <c r="M8" s="28">
        <v>0</v>
      </c>
      <c r="N8" s="28">
        <v>0</v>
      </c>
      <c r="O8" s="28">
        <v>0</v>
      </c>
      <c r="P8" s="28">
        <v>0</v>
      </c>
      <c r="Q8" s="28">
        <v>538.75</v>
      </c>
      <c r="R8" s="28">
        <f>H8+M8</f>
        <v>0</v>
      </c>
      <c r="S8" s="28">
        <f>I8+N8</f>
        <v>0</v>
      </c>
      <c r="T8" s="28">
        <f>J8+O8</f>
        <v>0</v>
      </c>
      <c r="U8" s="28">
        <v>0</v>
      </c>
      <c r="V8" s="28">
        <f>L8+Q8</f>
        <v>575.04999999999995</v>
      </c>
      <c r="W8" s="28">
        <f>SUM(R8:V8)</f>
        <v>575.04999999999995</v>
      </c>
      <c r="X8" s="31">
        <f t="shared" ref="X8:X18" si="0">IF(W8&gt;0,ROUND(R8/W8*AD8,0),0)</f>
        <v>0</v>
      </c>
      <c r="Y8" s="31">
        <f t="shared" ref="Y8:Y18" si="1">IF(W8&gt;0,ROUND(S8/W8*AD8,0),0)</f>
        <v>0</v>
      </c>
      <c r="Z8" s="31">
        <f t="shared" ref="Z8:Z18" si="2">IF(W8&gt;0,ROUND(T8/W8*AD8,0),0)</f>
        <v>0</v>
      </c>
      <c r="AA8" s="31">
        <f t="shared" ref="AA8:AA18" si="3">IF(W8&gt;0,ROUND(U8/W8*AD8,0),0)</f>
        <v>0</v>
      </c>
      <c r="AB8" s="31">
        <f t="shared" ref="AB8:AB18" si="4">AD8-SUM(X8:AA8)</f>
        <v>300</v>
      </c>
      <c r="AC8" s="32">
        <f t="shared" ref="AC8:AC18" si="5">W8-G8</f>
        <v>386.04999999999995</v>
      </c>
      <c r="AD8" s="32">
        <f t="shared" ref="AD8:AD18" si="6">IF(AC8&gt;=0,IF(AC8&lt;=300,AC8,300),0)</f>
        <v>300</v>
      </c>
      <c r="AE8" s="33">
        <f>TRUNC(C8/176,1)</f>
        <v>128076.3</v>
      </c>
      <c r="AF8" s="34">
        <f t="shared" ref="AF8:AF18" si="7">TRUNC(X8*AE8,2)</f>
        <v>0</v>
      </c>
      <c r="AG8" s="34">
        <f t="shared" ref="AG8:AG18" si="8">TRUNC(Y8*AE8,2)</f>
        <v>0</v>
      </c>
      <c r="AH8" s="34">
        <f t="shared" ref="AH8:AH18" si="9">TRUNC(Z8*AE8,2)</f>
        <v>0</v>
      </c>
      <c r="AI8" s="34">
        <f t="shared" ref="AI8:AI18" si="10">TRUNC(AE8*AA8,2)</f>
        <v>0</v>
      </c>
      <c r="AJ8" s="34">
        <f>TRUNC(AB8*AE8,2)</f>
        <v>38422890</v>
      </c>
      <c r="AK8" s="35">
        <f>TRUNC(AD8*AE8,2)</f>
        <v>38422890</v>
      </c>
      <c r="AL8" s="35">
        <f>AK8</f>
        <v>38422890</v>
      </c>
    </row>
    <row r="9" spans="1:38" ht="25.5">
      <c r="A9" s="24">
        <v>2</v>
      </c>
      <c r="B9" s="25" t="s">
        <v>25</v>
      </c>
      <c r="C9" s="26">
        <v>30424205</v>
      </c>
      <c r="D9" s="27">
        <v>270</v>
      </c>
      <c r="E9" s="28">
        <v>40.5</v>
      </c>
      <c r="F9" s="36">
        <v>67.33</v>
      </c>
      <c r="G9" s="29">
        <f>D9-E9+F9</f>
        <v>296.83</v>
      </c>
      <c r="H9" s="28">
        <v>0</v>
      </c>
      <c r="I9" s="28">
        <v>0</v>
      </c>
      <c r="J9" s="28">
        <v>0</v>
      </c>
      <c r="K9" s="30">
        <v>0</v>
      </c>
      <c r="L9" s="28">
        <v>162.19999999999999</v>
      </c>
      <c r="M9" s="28">
        <v>7.1</v>
      </c>
      <c r="N9" s="28">
        <v>0</v>
      </c>
      <c r="O9" s="28">
        <v>0</v>
      </c>
      <c r="P9" s="28">
        <v>0</v>
      </c>
      <c r="Q9" s="28">
        <v>581.9</v>
      </c>
      <c r="R9" s="28">
        <f>H9+M9</f>
        <v>7.1</v>
      </c>
      <c r="S9" s="28">
        <f t="shared" ref="S9:T18" si="11">I9+N9</f>
        <v>0</v>
      </c>
      <c r="T9" s="28">
        <f t="shared" si="11"/>
        <v>0</v>
      </c>
      <c r="U9" s="28">
        <v>0</v>
      </c>
      <c r="V9" s="28">
        <f t="shared" ref="V9:V18" si="12">L9+Q9</f>
        <v>744.09999999999991</v>
      </c>
      <c r="W9" s="28">
        <f t="shared" ref="W9:W18" si="13">SUM(R9:V9)</f>
        <v>751.19999999999993</v>
      </c>
      <c r="X9" s="37">
        <f t="shared" si="0"/>
        <v>3</v>
      </c>
      <c r="Y9" s="37">
        <f t="shared" si="1"/>
        <v>0</v>
      </c>
      <c r="Z9" s="31">
        <f t="shared" si="2"/>
        <v>0</v>
      </c>
      <c r="AA9" s="31">
        <f t="shared" si="3"/>
        <v>0</v>
      </c>
      <c r="AB9" s="31">
        <f t="shared" si="4"/>
        <v>297</v>
      </c>
      <c r="AC9" s="32">
        <f t="shared" si="5"/>
        <v>454.36999999999995</v>
      </c>
      <c r="AD9" s="32">
        <f t="shared" si="6"/>
        <v>300</v>
      </c>
      <c r="AE9" s="33">
        <f t="shared" ref="AE9:AE18" si="14">TRUNC(C9/176,1)</f>
        <v>172864.8</v>
      </c>
      <c r="AF9" s="34">
        <f t="shared" si="7"/>
        <v>518594.4</v>
      </c>
      <c r="AG9" s="34">
        <f t="shared" si="8"/>
        <v>0</v>
      </c>
      <c r="AH9" s="34">
        <f t="shared" si="9"/>
        <v>0</v>
      </c>
      <c r="AI9" s="34">
        <f t="shared" si="10"/>
        <v>0</v>
      </c>
      <c r="AJ9" s="34">
        <f t="shared" ref="AJ9:AJ18" si="15">TRUNC(AB9*AE9,2)</f>
        <v>51340845.600000001</v>
      </c>
      <c r="AK9" s="35">
        <f t="shared" ref="AK9:AK18" si="16">TRUNC(AD9*AE9,2)</f>
        <v>51859440</v>
      </c>
      <c r="AL9" s="35">
        <f t="shared" ref="AL9:AL19" si="17">AK9</f>
        <v>51859440</v>
      </c>
    </row>
    <row r="10" spans="1:38" ht="25.5">
      <c r="A10" s="24">
        <v>3</v>
      </c>
      <c r="B10" s="25" t="s">
        <v>26</v>
      </c>
      <c r="C10" s="26">
        <v>31535312</v>
      </c>
      <c r="D10" s="27">
        <v>270</v>
      </c>
      <c r="E10" s="28">
        <v>0</v>
      </c>
      <c r="F10" s="28">
        <v>0</v>
      </c>
      <c r="G10" s="29">
        <v>270</v>
      </c>
      <c r="H10" s="28">
        <v>67.5</v>
      </c>
      <c r="I10" s="28">
        <v>32</v>
      </c>
      <c r="J10" s="28">
        <v>0</v>
      </c>
      <c r="K10" s="30">
        <v>0</v>
      </c>
      <c r="L10" s="28">
        <v>331.95</v>
      </c>
      <c r="M10" s="28">
        <v>0</v>
      </c>
      <c r="N10" s="28">
        <v>0</v>
      </c>
      <c r="O10" s="28">
        <v>60</v>
      </c>
      <c r="P10" s="28">
        <v>0</v>
      </c>
      <c r="Q10" s="28">
        <v>160</v>
      </c>
      <c r="R10" s="28">
        <f>H10+M10</f>
        <v>67.5</v>
      </c>
      <c r="S10" s="28">
        <f t="shared" si="11"/>
        <v>32</v>
      </c>
      <c r="T10" s="28">
        <f t="shared" si="11"/>
        <v>60</v>
      </c>
      <c r="U10" s="28">
        <v>0</v>
      </c>
      <c r="V10" s="28">
        <f t="shared" si="12"/>
        <v>491.95</v>
      </c>
      <c r="W10" s="28">
        <f t="shared" si="13"/>
        <v>651.45000000000005</v>
      </c>
      <c r="X10" s="37">
        <f t="shared" si="0"/>
        <v>31</v>
      </c>
      <c r="Y10" s="37">
        <f t="shared" si="1"/>
        <v>15</v>
      </c>
      <c r="Z10" s="31">
        <f t="shared" si="2"/>
        <v>28</v>
      </c>
      <c r="AA10" s="31">
        <f t="shared" si="3"/>
        <v>0</v>
      </c>
      <c r="AB10" s="31">
        <f t="shared" si="4"/>
        <v>226</v>
      </c>
      <c r="AC10" s="32">
        <f t="shared" si="5"/>
        <v>381.45000000000005</v>
      </c>
      <c r="AD10" s="32">
        <f t="shared" si="6"/>
        <v>300</v>
      </c>
      <c r="AE10" s="33">
        <f t="shared" si="14"/>
        <v>179177.9</v>
      </c>
      <c r="AF10" s="34">
        <f t="shared" si="7"/>
        <v>5554514.9000000004</v>
      </c>
      <c r="AG10" s="34">
        <f t="shared" si="8"/>
        <v>2687668.5</v>
      </c>
      <c r="AH10" s="34">
        <f t="shared" si="9"/>
        <v>5016981.2</v>
      </c>
      <c r="AI10" s="34">
        <f t="shared" si="10"/>
        <v>0</v>
      </c>
      <c r="AJ10" s="34">
        <f t="shared" si="15"/>
        <v>40494205.399999999</v>
      </c>
      <c r="AK10" s="35">
        <f t="shared" si="16"/>
        <v>53753370</v>
      </c>
      <c r="AL10" s="35">
        <f t="shared" si="17"/>
        <v>53753370</v>
      </c>
    </row>
    <row r="11" spans="1:38" ht="25.5">
      <c r="A11" s="24">
        <v>4</v>
      </c>
      <c r="B11" s="25" t="s">
        <v>27</v>
      </c>
      <c r="C11" s="26">
        <v>21891845</v>
      </c>
      <c r="D11" s="27">
        <v>270</v>
      </c>
      <c r="E11" s="29">
        <v>40.5</v>
      </c>
      <c r="F11" s="28">
        <v>0</v>
      </c>
      <c r="G11" s="29">
        <v>144.5</v>
      </c>
      <c r="H11" s="28">
        <v>0</v>
      </c>
      <c r="I11" s="29">
        <v>130</v>
      </c>
      <c r="J11" s="28">
        <v>0</v>
      </c>
      <c r="K11" s="30">
        <v>0</v>
      </c>
      <c r="L11" s="28">
        <f>54.6+26.13</f>
        <v>80.73</v>
      </c>
      <c r="M11" s="28">
        <f>24.39+11</f>
        <v>35.39</v>
      </c>
      <c r="N11" s="28">
        <v>0</v>
      </c>
      <c r="O11" s="28">
        <v>0</v>
      </c>
      <c r="P11" s="28">
        <v>0</v>
      </c>
      <c r="Q11" s="28">
        <f>50+320.48</f>
        <v>370.48</v>
      </c>
      <c r="R11" s="28">
        <f t="shared" ref="R11:R18" si="18">H11+M11</f>
        <v>35.39</v>
      </c>
      <c r="S11" s="28">
        <f t="shared" si="11"/>
        <v>130</v>
      </c>
      <c r="T11" s="28">
        <f t="shared" si="11"/>
        <v>0</v>
      </c>
      <c r="U11" s="28">
        <v>0</v>
      </c>
      <c r="V11" s="28">
        <f t="shared" si="12"/>
        <v>451.21000000000004</v>
      </c>
      <c r="W11" s="28">
        <f t="shared" si="13"/>
        <v>616.6</v>
      </c>
      <c r="X11" s="38">
        <f t="shared" si="0"/>
        <v>17</v>
      </c>
      <c r="Y11" s="38">
        <f t="shared" si="1"/>
        <v>63</v>
      </c>
      <c r="Z11" s="39">
        <f t="shared" si="2"/>
        <v>0</v>
      </c>
      <c r="AA11" s="39">
        <f t="shared" si="3"/>
        <v>0</v>
      </c>
      <c r="AB11" s="39">
        <f t="shared" si="4"/>
        <v>220</v>
      </c>
      <c r="AC11" s="39">
        <f t="shared" si="5"/>
        <v>472.1</v>
      </c>
      <c r="AD11" s="40">
        <f t="shared" si="6"/>
        <v>300</v>
      </c>
      <c r="AE11" s="41">
        <f t="shared" si="14"/>
        <v>124385.4</v>
      </c>
      <c r="AF11" s="34">
        <f t="shared" si="7"/>
        <v>2114551.7999999998</v>
      </c>
      <c r="AG11" s="34">
        <f t="shared" si="8"/>
        <v>7836280.2000000002</v>
      </c>
      <c r="AH11" s="34">
        <f t="shared" si="9"/>
        <v>0</v>
      </c>
      <c r="AI11" s="34">
        <f t="shared" si="10"/>
        <v>0</v>
      </c>
      <c r="AJ11" s="34">
        <f t="shared" si="15"/>
        <v>27364788</v>
      </c>
      <c r="AK11" s="35">
        <f t="shared" si="16"/>
        <v>37315620</v>
      </c>
      <c r="AL11" s="35">
        <f t="shared" si="17"/>
        <v>37315620</v>
      </c>
    </row>
    <row r="12" spans="1:38" ht="38.25">
      <c r="A12" s="24">
        <v>5</v>
      </c>
      <c r="B12" s="25" t="s">
        <v>28</v>
      </c>
      <c r="C12" s="26">
        <v>18941457</v>
      </c>
      <c r="D12" s="27">
        <v>270</v>
      </c>
      <c r="E12" s="28">
        <v>40.5</v>
      </c>
      <c r="F12" s="29">
        <v>0</v>
      </c>
      <c r="G12" s="29">
        <f>D12-E12</f>
        <v>229.5</v>
      </c>
      <c r="H12" s="28">
        <v>38.700000000000003</v>
      </c>
      <c r="I12" s="28">
        <v>50.25</v>
      </c>
      <c r="J12" s="28">
        <v>0</v>
      </c>
      <c r="K12" s="30">
        <v>0</v>
      </c>
      <c r="L12" s="28">
        <v>34.75</v>
      </c>
      <c r="M12" s="28">
        <v>40.07</v>
      </c>
      <c r="N12" s="28">
        <v>0</v>
      </c>
      <c r="O12" s="28">
        <v>0</v>
      </c>
      <c r="P12" s="28">
        <v>0</v>
      </c>
      <c r="Q12" s="28">
        <v>385.56</v>
      </c>
      <c r="R12" s="28">
        <f t="shared" si="18"/>
        <v>78.77000000000001</v>
      </c>
      <c r="S12" s="28">
        <f t="shared" si="11"/>
        <v>50.25</v>
      </c>
      <c r="T12" s="28">
        <f t="shared" si="11"/>
        <v>0</v>
      </c>
      <c r="U12" s="28">
        <v>0</v>
      </c>
      <c r="V12" s="28">
        <f t="shared" si="12"/>
        <v>420.31</v>
      </c>
      <c r="W12" s="28">
        <f t="shared" si="13"/>
        <v>549.33000000000004</v>
      </c>
      <c r="X12" s="37">
        <f t="shared" si="0"/>
        <v>43</v>
      </c>
      <c r="Y12" s="37">
        <f t="shared" si="1"/>
        <v>27</v>
      </c>
      <c r="Z12" s="31">
        <f t="shared" si="2"/>
        <v>0</v>
      </c>
      <c r="AA12" s="31">
        <f t="shared" si="3"/>
        <v>0</v>
      </c>
      <c r="AB12" s="31">
        <f t="shared" si="4"/>
        <v>230</v>
      </c>
      <c r="AC12" s="32">
        <f t="shared" si="5"/>
        <v>319.83000000000004</v>
      </c>
      <c r="AD12" s="32">
        <f t="shared" si="6"/>
        <v>300</v>
      </c>
      <c r="AE12" s="33">
        <f t="shared" si="14"/>
        <v>107621.9</v>
      </c>
      <c r="AF12" s="34">
        <f t="shared" si="7"/>
        <v>4627741.7</v>
      </c>
      <c r="AG12" s="34">
        <f t="shared" si="8"/>
        <v>2905791.3</v>
      </c>
      <c r="AH12" s="34">
        <f t="shared" si="9"/>
        <v>0</v>
      </c>
      <c r="AI12" s="34">
        <f t="shared" si="10"/>
        <v>0</v>
      </c>
      <c r="AJ12" s="34">
        <f t="shared" si="15"/>
        <v>24753037</v>
      </c>
      <c r="AK12" s="35">
        <f t="shared" si="16"/>
        <v>32286570</v>
      </c>
      <c r="AL12" s="35">
        <f t="shared" si="17"/>
        <v>32286570</v>
      </c>
    </row>
    <row r="13" spans="1:38" ht="25.5">
      <c r="A13" s="24">
        <v>6</v>
      </c>
      <c r="B13" s="25" t="s">
        <v>29</v>
      </c>
      <c r="C13" s="26">
        <v>19418443</v>
      </c>
      <c r="D13" s="27">
        <v>270</v>
      </c>
      <c r="E13" s="28">
        <v>54</v>
      </c>
      <c r="F13" s="28">
        <v>0</v>
      </c>
      <c r="G13" s="29">
        <v>216</v>
      </c>
      <c r="H13" s="28">
        <v>0</v>
      </c>
      <c r="I13" s="28">
        <v>42.63</v>
      </c>
      <c r="J13" s="29">
        <v>30</v>
      </c>
      <c r="K13" s="30">
        <v>0</v>
      </c>
      <c r="L13" s="42">
        <v>121.13</v>
      </c>
      <c r="M13" s="28">
        <v>19.5</v>
      </c>
      <c r="N13" s="28">
        <v>37.5</v>
      </c>
      <c r="O13" s="42">
        <v>105.25</v>
      </c>
      <c r="P13" s="28">
        <v>0</v>
      </c>
      <c r="Q13" s="28">
        <v>175</v>
      </c>
      <c r="R13" s="28">
        <f t="shared" si="18"/>
        <v>19.5</v>
      </c>
      <c r="S13" s="28">
        <f t="shared" si="11"/>
        <v>80.13</v>
      </c>
      <c r="T13" s="28">
        <f t="shared" si="11"/>
        <v>135.25</v>
      </c>
      <c r="U13" s="28">
        <v>0</v>
      </c>
      <c r="V13" s="28">
        <f t="shared" si="12"/>
        <v>296.13</v>
      </c>
      <c r="W13" s="28">
        <f t="shared" si="13"/>
        <v>531.01</v>
      </c>
      <c r="X13" s="37">
        <f t="shared" si="0"/>
        <v>11</v>
      </c>
      <c r="Y13" s="37">
        <f t="shared" si="1"/>
        <v>45</v>
      </c>
      <c r="Z13" s="31">
        <f t="shared" si="2"/>
        <v>76</v>
      </c>
      <c r="AA13" s="31">
        <f t="shared" si="3"/>
        <v>0</v>
      </c>
      <c r="AB13" s="31">
        <f t="shared" si="4"/>
        <v>168</v>
      </c>
      <c r="AC13" s="32">
        <f t="shared" si="5"/>
        <v>315.01</v>
      </c>
      <c r="AD13" s="32">
        <f t="shared" si="6"/>
        <v>300</v>
      </c>
      <c r="AE13" s="33">
        <f t="shared" si="14"/>
        <v>110332</v>
      </c>
      <c r="AF13" s="34">
        <f t="shared" si="7"/>
        <v>1213652</v>
      </c>
      <c r="AG13" s="34">
        <f t="shared" si="8"/>
        <v>4964940</v>
      </c>
      <c r="AH13" s="34">
        <f t="shared" si="9"/>
        <v>8385232</v>
      </c>
      <c r="AI13" s="34">
        <f t="shared" si="10"/>
        <v>0</v>
      </c>
      <c r="AJ13" s="34">
        <f t="shared" si="15"/>
        <v>18535776</v>
      </c>
      <c r="AK13" s="35">
        <f t="shared" si="16"/>
        <v>33099600</v>
      </c>
      <c r="AL13" s="35">
        <f t="shared" si="17"/>
        <v>33099600</v>
      </c>
    </row>
    <row r="14" spans="1:38" ht="25.5">
      <c r="A14" s="24">
        <v>7</v>
      </c>
      <c r="B14" s="25" t="s">
        <v>30</v>
      </c>
      <c r="C14" s="26">
        <v>18126459</v>
      </c>
      <c r="D14" s="27">
        <v>270</v>
      </c>
      <c r="E14" s="29">
        <v>135</v>
      </c>
      <c r="F14" s="28">
        <v>0</v>
      </c>
      <c r="G14" s="29">
        <v>135</v>
      </c>
      <c r="H14" s="28">
        <v>126.38</v>
      </c>
      <c r="I14" s="28">
        <v>0</v>
      </c>
      <c r="J14" s="28">
        <v>0</v>
      </c>
      <c r="K14" s="30">
        <v>0</v>
      </c>
      <c r="L14" s="28">
        <v>49.88</v>
      </c>
      <c r="M14" s="28">
        <v>43.88</v>
      </c>
      <c r="N14" s="28">
        <v>3.88</v>
      </c>
      <c r="O14" s="28">
        <v>0</v>
      </c>
      <c r="P14" s="28">
        <v>0</v>
      </c>
      <c r="Q14" s="28">
        <v>273.33</v>
      </c>
      <c r="R14" s="28">
        <f t="shared" si="18"/>
        <v>170.26</v>
      </c>
      <c r="S14" s="28">
        <f t="shared" si="11"/>
        <v>3.88</v>
      </c>
      <c r="T14" s="28">
        <f t="shared" si="11"/>
        <v>0</v>
      </c>
      <c r="U14" s="28">
        <v>0</v>
      </c>
      <c r="V14" s="28">
        <f t="shared" si="12"/>
        <v>323.20999999999998</v>
      </c>
      <c r="W14" s="28">
        <f t="shared" si="13"/>
        <v>497.34999999999997</v>
      </c>
      <c r="X14" s="37">
        <f t="shared" si="0"/>
        <v>103</v>
      </c>
      <c r="Y14" s="37">
        <f t="shared" si="1"/>
        <v>2</v>
      </c>
      <c r="Z14" s="31">
        <f t="shared" si="2"/>
        <v>0</v>
      </c>
      <c r="AA14" s="31">
        <f t="shared" si="3"/>
        <v>0</v>
      </c>
      <c r="AB14" s="31">
        <f t="shared" si="4"/>
        <v>195</v>
      </c>
      <c r="AC14" s="32">
        <f t="shared" si="5"/>
        <v>362.34999999999997</v>
      </c>
      <c r="AD14" s="32">
        <f t="shared" si="6"/>
        <v>300</v>
      </c>
      <c r="AE14" s="33">
        <f t="shared" si="14"/>
        <v>102991.2</v>
      </c>
      <c r="AF14" s="34">
        <f t="shared" si="7"/>
        <v>10608093.6</v>
      </c>
      <c r="AG14" s="34">
        <f t="shared" si="8"/>
        <v>205982.4</v>
      </c>
      <c r="AH14" s="34">
        <f t="shared" si="9"/>
        <v>0</v>
      </c>
      <c r="AI14" s="34">
        <f t="shared" si="10"/>
        <v>0</v>
      </c>
      <c r="AJ14" s="34">
        <f t="shared" si="15"/>
        <v>20083284</v>
      </c>
      <c r="AK14" s="35">
        <f t="shared" si="16"/>
        <v>30897360</v>
      </c>
      <c r="AL14" s="35">
        <f t="shared" si="17"/>
        <v>30897360</v>
      </c>
    </row>
    <row r="15" spans="1:38" ht="38.25">
      <c r="A15" s="24">
        <v>8</v>
      </c>
      <c r="B15" s="25" t="s">
        <v>31</v>
      </c>
      <c r="C15" s="26">
        <v>16841359</v>
      </c>
      <c r="D15" s="27">
        <v>270</v>
      </c>
      <c r="E15" s="28">
        <v>81</v>
      </c>
      <c r="F15" s="28">
        <v>0</v>
      </c>
      <c r="G15" s="29">
        <v>189</v>
      </c>
      <c r="H15" s="28">
        <v>153.26</v>
      </c>
      <c r="I15" s="29">
        <v>0</v>
      </c>
      <c r="J15" s="43">
        <v>59.13</v>
      </c>
      <c r="K15" s="30">
        <v>0</v>
      </c>
      <c r="L15" s="28">
        <v>67.5</v>
      </c>
      <c r="M15" s="44">
        <v>9.8800000000000008</v>
      </c>
      <c r="N15" s="44">
        <v>2.62</v>
      </c>
      <c r="O15" s="28">
        <v>0</v>
      </c>
      <c r="P15" s="28">
        <v>0</v>
      </c>
      <c r="Q15" s="28">
        <f>118.88+80</f>
        <v>198.88</v>
      </c>
      <c r="R15" s="28">
        <f t="shared" si="18"/>
        <v>163.13999999999999</v>
      </c>
      <c r="S15" s="28">
        <f t="shared" si="11"/>
        <v>2.62</v>
      </c>
      <c r="T15" s="28">
        <f t="shared" si="11"/>
        <v>59.13</v>
      </c>
      <c r="U15" s="28">
        <v>0</v>
      </c>
      <c r="V15" s="28">
        <f t="shared" si="12"/>
        <v>266.38</v>
      </c>
      <c r="W15" s="28">
        <f t="shared" si="13"/>
        <v>491.27</v>
      </c>
      <c r="X15" s="37">
        <f t="shared" si="0"/>
        <v>100</v>
      </c>
      <c r="Y15" s="37">
        <f t="shared" si="1"/>
        <v>2</v>
      </c>
      <c r="Z15" s="31">
        <f t="shared" si="2"/>
        <v>36</v>
      </c>
      <c r="AA15" s="31">
        <f t="shared" si="3"/>
        <v>0</v>
      </c>
      <c r="AB15" s="31">
        <f t="shared" si="4"/>
        <v>162</v>
      </c>
      <c r="AC15" s="32">
        <f t="shared" si="5"/>
        <v>302.27</v>
      </c>
      <c r="AD15" s="32">
        <f t="shared" si="6"/>
        <v>300</v>
      </c>
      <c r="AE15" s="33">
        <f t="shared" si="14"/>
        <v>95689.5</v>
      </c>
      <c r="AF15" s="34">
        <f t="shared" si="7"/>
        <v>9568950</v>
      </c>
      <c r="AG15" s="34">
        <f t="shared" si="8"/>
        <v>191379</v>
      </c>
      <c r="AH15" s="34">
        <f t="shared" si="9"/>
        <v>3444822</v>
      </c>
      <c r="AI15" s="34">
        <f t="shared" si="10"/>
        <v>0</v>
      </c>
      <c r="AJ15" s="34">
        <f t="shared" si="15"/>
        <v>15501699</v>
      </c>
      <c r="AK15" s="35">
        <f t="shared" si="16"/>
        <v>28706850</v>
      </c>
      <c r="AL15" s="35">
        <f t="shared" si="17"/>
        <v>28706850</v>
      </c>
    </row>
    <row r="16" spans="1:38" ht="25.5">
      <c r="A16" s="24">
        <v>9</v>
      </c>
      <c r="B16" s="25" t="s">
        <v>32</v>
      </c>
      <c r="C16" s="26">
        <v>14926602</v>
      </c>
      <c r="D16" s="27">
        <v>270</v>
      </c>
      <c r="E16" s="28">
        <v>0</v>
      </c>
      <c r="F16" s="28">
        <v>0</v>
      </c>
      <c r="G16" s="29">
        <v>270</v>
      </c>
      <c r="H16" s="28">
        <f>100+5.25</f>
        <v>105.25</v>
      </c>
      <c r="I16" s="29">
        <f>10.4</f>
        <v>10.4</v>
      </c>
      <c r="J16" s="29">
        <v>0</v>
      </c>
      <c r="K16" s="30">
        <v>0</v>
      </c>
      <c r="L16" s="42">
        <v>105.14</v>
      </c>
      <c r="M16" s="28">
        <v>0</v>
      </c>
      <c r="N16" s="28">
        <f>60+2</f>
        <v>62</v>
      </c>
      <c r="O16" s="28">
        <v>0</v>
      </c>
      <c r="P16" s="28">
        <v>0</v>
      </c>
      <c r="Q16" s="28">
        <f>141.51+250</f>
        <v>391.51</v>
      </c>
      <c r="R16" s="28">
        <f t="shared" si="18"/>
        <v>105.25</v>
      </c>
      <c r="S16" s="28">
        <f t="shared" si="11"/>
        <v>72.400000000000006</v>
      </c>
      <c r="T16" s="28">
        <f t="shared" si="11"/>
        <v>0</v>
      </c>
      <c r="U16" s="28">
        <v>0</v>
      </c>
      <c r="V16" s="28">
        <f t="shared" si="12"/>
        <v>496.65</v>
      </c>
      <c r="W16" s="28">
        <f t="shared" si="13"/>
        <v>674.3</v>
      </c>
      <c r="X16" s="37">
        <f t="shared" si="0"/>
        <v>47</v>
      </c>
      <c r="Y16" s="37">
        <f t="shared" si="1"/>
        <v>32</v>
      </c>
      <c r="Z16" s="31">
        <f t="shared" si="2"/>
        <v>0</v>
      </c>
      <c r="AA16" s="31">
        <f t="shared" si="3"/>
        <v>0</v>
      </c>
      <c r="AB16" s="31">
        <f t="shared" si="4"/>
        <v>221</v>
      </c>
      <c r="AC16" s="32">
        <f t="shared" si="5"/>
        <v>404.29999999999995</v>
      </c>
      <c r="AD16" s="32">
        <f t="shared" si="6"/>
        <v>300</v>
      </c>
      <c r="AE16" s="33">
        <f t="shared" si="14"/>
        <v>84810.2</v>
      </c>
      <c r="AF16" s="34">
        <f t="shared" si="7"/>
        <v>3986079.4</v>
      </c>
      <c r="AG16" s="34">
        <f t="shared" si="8"/>
        <v>2713926.4</v>
      </c>
      <c r="AH16" s="34">
        <f t="shared" si="9"/>
        <v>0</v>
      </c>
      <c r="AI16" s="34">
        <f t="shared" si="10"/>
        <v>0</v>
      </c>
      <c r="AJ16" s="34">
        <f t="shared" si="15"/>
        <v>18743054.199999999</v>
      </c>
      <c r="AK16" s="35">
        <f t="shared" si="16"/>
        <v>25443060</v>
      </c>
      <c r="AL16" s="35">
        <f t="shared" si="17"/>
        <v>25443060</v>
      </c>
    </row>
    <row r="17" spans="1:38" ht="25.5">
      <c r="A17" s="24">
        <v>10</v>
      </c>
      <c r="B17" s="25" t="s">
        <v>33</v>
      </c>
      <c r="C17" s="26">
        <v>11905494</v>
      </c>
      <c r="D17" s="27">
        <v>270</v>
      </c>
      <c r="E17" s="28">
        <v>40.5</v>
      </c>
      <c r="F17" s="45">
        <v>200</v>
      </c>
      <c r="G17" s="29">
        <v>429.5</v>
      </c>
      <c r="H17" s="28">
        <f>159.9</f>
        <v>159.9</v>
      </c>
      <c r="I17" s="29">
        <v>0</v>
      </c>
      <c r="J17" s="29">
        <v>0</v>
      </c>
      <c r="K17" s="30">
        <v>0</v>
      </c>
      <c r="L17" s="46">
        <f>35+103.13</f>
        <v>138.13</v>
      </c>
      <c r="M17" s="28">
        <f>60+39+2.63+6+3.6</f>
        <v>111.22999999999999</v>
      </c>
      <c r="N17" s="46">
        <f>60+39+2.63+3.5+2.6</f>
        <v>107.72999999999999</v>
      </c>
      <c r="O17" s="44">
        <v>2.63</v>
      </c>
      <c r="P17" s="28">
        <v>0</v>
      </c>
      <c r="Q17" s="28">
        <f>20.13+102.88+89.2</f>
        <v>212.20999999999998</v>
      </c>
      <c r="R17" s="28">
        <f t="shared" si="18"/>
        <v>271.13</v>
      </c>
      <c r="S17" s="28">
        <f t="shared" si="11"/>
        <v>107.72999999999999</v>
      </c>
      <c r="T17" s="28">
        <f t="shared" si="11"/>
        <v>2.63</v>
      </c>
      <c r="U17" s="28">
        <v>0</v>
      </c>
      <c r="V17" s="28">
        <f t="shared" si="12"/>
        <v>350.34</v>
      </c>
      <c r="W17" s="28">
        <f t="shared" si="13"/>
        <v>731.82999999999993</v>
      </c>
      <c r="X17" s="37">
        <f t="shared" si="0"/>
        <v>111</v>
      </c>
      <c r="Y17" s="37">
        <f t="shared" si="1"/>
        <v>44</v>
      </c>
      <c r="Z17" s="31">
        <f t="shared" si="2"/>
        <v>1</v>
      </c>
      <c r="AA17" s="31">
        <f t="shared" si="3"/>
        <v>0</v>
      </c>
      <c r="AB17" s="31">
        <f t="shared" si="4"/>
        <v>144</v>
      </c>
      <c r="AC17" s="32">
        <f t="shared" si="5"/>
        <v>302.32999999999993</v>
      </c>
      <c r="AD17" s="32">
        <f t="shared" si="6"/>
        <v>300</v>
      </c>
      <c r="AE17" s="33">
        <f t="shared" si="14"/>
        <v>67644.800000000003</v>
      </c>
      <c r="AF17" s="34">
        <f t="shared" si="7"/>
        <v>7508572.7999999998</v>
      </c>
      <c r="AG17" s="34">
        <f t="shared" si="8"/>
        <v>2976371.2</v>
      </c>
      <c r="AH17" s="34">
        <f t="shared" si="9"/>
        <v>67644.800000000003</v>
      </c>
      <c r="AI17" s="34">
        <f t="shared" si="10"/>
        <v>0</v>
      </c>
      <c r="AJ17" s="34">
        <f t="shared" si="15"/>
        <v>9740851.1999999993</v>
      </c>
      <c r="AK17" s="35">
        <f t="shared" si="16"/>
        <v>20293440</v>
      </c>
      <c r="AL17" s="35">
        <f t="shared" si="17"/>
        <v>20293440</v>
      </c>
    </row>
    <row r="18" spans="1:38" ht="25.5">
      <c r="A18" s="24">
        <v>11</v>
      </c>
      <c r="B18" s="25" t="s">
        <v>34</v>
      </c>
      <c r="C18" s="26">
        <v>16323185</v>
      </c>
      <c r="D18" s="27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30">
        <v>0</v>
      </c>
      <c r="L18" s="28">
        <v>0</v>
      </c>
      <c r="M18" s="28">
        <v>1.5</v>
      </c>
      <c r="N18" s="28">
        <v>0</v>
      </c>
      <c r="O18" s="28">
        <v>0</v>
      </c>
      <c r="P18" s="28">
        <v>0</v>
      </c>
      <c r="Q18" s="28">
        <v>51.7</v>
      </c>
      <c r="R18" s="28">
        <f t="shared" si="18"/>
        <v>1.5</v>
      </c>
      <c r="S18" s="28">
        <f t="shared" si="11"/>
        <v>0</v>
      </c>
      <c r="T18" s="28">
        <f t="shared" si="11"/>
        <v>0</v>
      </c>
      <c r="U18" s="28">
        <v>0</v>
      </c>
      <c r="V18" s="28">
        <f t="shared" si="12"/>
        <v>51.7</v>
      </c>
      <c r="W18" s="28">
        <f t="shared" si="13"/>
        <v>53.2</v>
      </c>
      <c r="X18" s="37">
        <f t="shared" si="0"/>
        <v>2</v>
      </c>
      <c r="Y18" s="37">
        <f t="shared" si="1"/>
        <v>0</v>
      </c>
      <c r="Z18" s="31">
        <f t="shared" si="2"/>
        <v>0</v>
      </c>
      <c r="AA18" s="31">
        <f t="shared" si="3"/>
        <v>0</v>
      </c>
      <c r="AB18" s="31">
        <f t="shared" si="4"/>
        <v>51.2</v>
      </c>
      <c r="AC18" s="32">
        <f t="shared" si="5"/>
        <v>53.2</v>
      </c>
      <c r="AD18" s="32">
        <f t="shared" si="6"/>
        <v>53.2</v>
      </c>
      <c r="AE18" s="33">
        <f t="shared" si="14"/>
        <v>92745.3</v>
      </c>
      <c r="AF18" s="34">
        <f t="shared" si="7"/>
        <v>185490.6</v>
      </c>
      <c r="AG18" s="34">
        <f t="shared" si="8"/>
        <v>0</v>
      </c>
      <c r="AH18" s="34">
        <f t="shared" si="9"/>
        <v>0</v>
      </c>
      <c r="AI18" s="34">
        <f t="shared" si="10"/>
        <v>0</v>
      </c>
      <c r="AJ18" s="34">
        <f t="shared" si="15"/>
        <v>4748559.3600000003</v>
      </c>
      <c r="AK18" s="35">
        <f t="shared" si="16"/>
        <v>4934049.96</v>
      </c>
      <c r="AL18" s="35">
        <f t="shared" si="17"/>
        <v>4934049.96</v>
      </c>
    </row>
    <row r="19" spans="1:38">
      <c r="A19" s="68" t="s">
        <v>35</v>
      </c>
      <c r="B19" s="69"/>
      <c r="C19" s="47"/>
      <c r="D19" s="48">
        <f t="shared" ref="D19:AD19" si="19">SUM(D8:D17)</f>
        <v>2700</v>
      </c>
      <c r="E19" s="48">
        <f t="shared" si="19"/>
        <v>513</v>
      </c>
      <c r="F19" s="47">
        <f t="shared" si="19"/>
        <v>267.33</v>
      </c>
      <c r="G19" s="48">
        <f t="shared" si="19"/>
        <v>2369.33</v>
      </c>
      <c r="H19" s="48">
        <f t="shared" si="19"/>
        <v>650.99</v>
      </c>
      <c r="I19" s="48">
        <f t="shared" si="19"/>
        <v>265.27999999999997</v>
      </c>
      <c r="J19" s="48">
        <f t="shared" si="19"/>
        <v>89.13</v>
      </c>
      <c r="K19" s="48"/>
      <c r="L19" s="48">
        <f t="shared" si="19"/>
        <v>1127.71</v>
      </c>
      <c r="M19" s="48">
        <f t="shared" si="19"/>
        <v>267.04999999999995</v>
      </c>
      <c r="N19" s="48">
        <f t="shared" si="19"/>
        <v>213.73</v>
      </c>
      <c r="O19" s="48">
        <f t="shared" si="19"/>
        <v>167.88</v>
      </c>
      <c r="P19" s="48"/>
      <c r="Q19" s="48">
        <f t="shared" si="19"/>
        <v>3287.62</v>
      </c>
      <c r="R19" s="48">
        <f t="shared" si="19"/>
        <v>918.04</v>
      </c>
      <c r="S19" s="48">
        <f t="shared" si="19"/>
        <v>479.01</v>
      </c>
      <c r="T19" s="48">
        <f t="shared" si="19"/>
        <v>257.01</v>
      </c>
      <c r="U19" s="48"/>
      <c r="V19" s="48">
        <f t="shared" si="19"/>
        <v>4415.33</v>
      </c>
      <c r="W19" s="48">
        <f t="shared" si="19"/>
        <v>6069.39</v>
      </c>
      <c r="X19" s="48">
        <f t="shared" si="19"/>
        <v>466</v>
      </c>
      <c r="Y19" s="48">
        <f t="shared" si="19"/>
        <v>230</v>
      </c>
      <c r="Z19" s="48">
        <f t="shared" si="19"/>
        <v>141</v>
      </c>
      <c r="AA19" s="48">
        <f t="shared" si="19"/>
        <v>0</v>
      </c>
      <c r="AB19" s="48">
        <f t="shared" si="19"/>
        <v>2163</v>
      </c>
      <c r="AC19" s="48">
        <f t="shared" si="19"/>
        <v>3700.0599999999995</v>
      </c>
      <c r="AD19" s="48">
        <f t="shared" si="19"/>
        <v>3000</v>
      </c>
      <c r="AE19" s="48"/>
      <c r="AF19" s="49">
        <f>SUM(AF8:AF18)</f>
        <v>45886241.199999996</v>
      </c>
      <c r="AG19" s="49">
        <f t="shared" ref="AG19:AK19" si="20">SUM(AG8:AG18)</f>
        <v>24482338.999999996</v>
      </c>
      <c r="AH19" s="49">
        <f t="shared" si="20"/>
        <v>16914680</v>
      </c>
      <c r="AI19" s="49">
        <f t="shared" si="20"/>
        <v>0</v>
      </c>
      <c r="AJ19" s="49">
        <f t="shared" si="20"/>
        <v>269728989.75999999</v>
      </c>
      <c r="AK19" s="49">
        <f t="shared" si="20"/>
        <v>357012249.95999998</v>
      </c>
      <c r="AL19" s="50">
        <f t="shared" si="17"/>
        <v>357012249.95999998</v>
      </c>
    </row>
    <row r="20" spans="1:38" ht="18.75">
      <c r="A20" s="51"/>
      <c r="B20" s="58" t="s">
        <v>36</v>
      </c>
      <c r="C20" s="58"/>
      <c r="D20" s="58"/>
      <c r="E20" s="58" t="s">
        <v>37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</row>
    <row r="21" spans="1:38">
      <c r="A21" s="71" t="s">
        <v>45</v>
      </c>
      <c r="B21" s="72" t="s">
        <v>44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</row>
    <row r="22" spans="1:38" ht="25.5">
      <c r="A22" s="24">
        <v>1</v>
      </c>
      <c r="B22" s="25" t="s">
        <v>24</v>
      </c>
      <c r="C22" s="26">
        <v>22541435</v>
      </c>
      <c r="D22" s="27">
        <v>270</v>
      </c>
      <c r="E22" s="28">
        <v>81</v>
      </c>
      <c r="F22" s="28">
        <v>0</v>
      </c>
      <c r="G22" s="29">
        <v>189</v>
      </c>
      <c r="H22" s="28">
        <v>0</v>
      </c>
      <c r="I22" s="28">
        <v>0</v>
      </c>
      <c r="J22" s="28">
        <v>0</v>
      </c>
      <c r="K22" s="30">
        <v>0</v>
      </c>
      <c r="L22" s="28">
        <v>36.299999999999997</v>
      </c>
      <c r="M22" s="28">
        <v>0</v>
      </c>
      <c r="N22" s="28">
        <v>0</v>
      </c>
      <c r="O22" s="28">
        <v>0</v>
      </c>
      <c r="P22" s="28">
        <v>0</v>
      </c>
      <c r="Q22" s="28">
        <v>538.75</v>
      </c>
      <c r="R22" s="28">
        <f>H22+M22</f>
        <v>0</v>
      </c>
      <c r="S22" s="28">
        <f>I22+N22</f>
        <v>0</v>
      </c>
      <c r="T22" s="28">
        <f>J22+O22</f>
        <v>0</v>
      </c>
      <c r="U22" s="28">
        <v>0</v>
      </c>
      <c r="V22" s="28">
        <f>L22+Q22</f>
        <v>575.04999999999995</v>
      </c>
      <c r="W22" s="28">
        <f>SUM(R22:V22)</f>
        <v>575.04999999999995</v>
      </c>
      <c r="X22" s="31">
        <f t="shared" ref="X22:X32" si="21">IF(W22&gt;0,ROUND(R22/W22*AD22,0),0)</f>
        <v>0</v>
      </c>
      <c r="Y22" s="31">
        <f t="shared" ref="Y22:Y32" si="22">IF(W22&gt;0,ROUND(S22/W22*AD22,0),0)</f>
        <v>0</v>
      </c>
      <c r="Z22" s="31">
        <f t="shared" ref="Z22:Z32" si="23">IF(W22&gt;0,ROUND(T22/W22*AD22,0),0)</f>
        <v>0</v>
      </c>
      <c r="AA22" s="31">
        <f t="shared" ref="AA22:AA32" si="24">IF(W22&gt;0,ROUND(U22/W22*AD22,0),0)</f>
        <v>0</v>
      </c>
      <c r="AB22" s="31">
        <f t="shared" ref="AB22:AB32" si="25">AD22-SUM(X22:AA22)</f>
        <v>300</v>
      </c>
      <c r="AC22" s="32">
        <f t="shared" ref="AC22:AC32" si="26">W22-G22</f>
        <v>386.04999999999995</v>
      </c>
      <c r="AD22" s="32">
        <f t="shared" ref="AD22:AD32" si="27">IF(AC22&gt;=0,IF(AC22&lt;=300,AC22,300),0)</f>
        <v>300</v>
      </c>
      <c r="AE22" s="33">
        <f>TRUNC(C22/176,1)</f>
        <v>128076.3</v>
      </c>
      <c r="AF22" s="34">
        <f t="shared" ref="AF22:AF32" si="28">TRUNC(X22*AE22,2)</f>
        <v>0</v>
      </c>
      <c r="AG22" s="34">
        <f t="shared" ref="AG22:AG32" si="29">TRUNC(Y22*AE22,2)</f>
        <v>0</v>
      </c>
      <c r="AH22" s="34">
        <f t="shared" ref="AH22:AH32" si="30">TRUNC(Z22*AE22,2)</f>
        <v>0</v>
      </c>
      <c r="AI22" s="34">
        <f t="shared" ref="AI22:AI32" si="31">TRUNC(AE22*AA22,2)</f>
        <v>0</v>
      </c>
      <c r="AJ22" s="34">
        <f>TRUNC(AB22*AE22,2)</f>
        <v>38422890</v>
      </c>
      <c r="AK22" s="35">
        <f>TRUNC(AD22*AE22,2)</f>
        <v>38422890</v>
      </c>
      <c r="AL22" s="35">
        <f>AK22</f>
        <v>38422890</v>
      </c>
    </row>
    <row r="23" spans="1:38" ht="25.5">
      <c r="A23" s="24">
        <v>2</v>
      </c>
      <c r="B23" s="25" t="s">
        <v>25</v>
      </c>
      <c r="C23" s="26">
        <v>30424205</v>
      </c>
      <c r="D23" s="27">
        <v>270</v>
      </c>
      <c r="E23" s="28">
        <v>40.5</v>
      </c>
      <c r="F23" s="36">
        <v>67.33</v>
      </c>
      <c r="G23" s="29">
        <f>D23-E23+F23</f>
        <v>296.83</v>
      </c>
      <c r="H23" s="28">
        <v>0</v>
      </c>
      <c r="I23" s="28">
        <v>0</v>
      </c>
      <c r="J23" s="28">
        <v>0</v>
      </c>
      <c r="K23" s="30">
        <v>0</v>
      </c>
      <c r="L23" s="28">
        <v>162.19999999999999</v>
      </c>
      <c r="M23" s="28">
        <v>7.1</v>
      </c>
      <c r="N23" s="28">
        <v>0</v>
      </c>
      <c r="O23" s="28">
        <v>0</v>
      </c>
      <c r="P23" s="28">
        <v>0</v>
      </c>
      <c r="Q23" s="28">
        <v>581.9</v>
      </c>
      <c r="R23" s="28">
        <f>H23+M23</f>
        <v>7.1</v>
      </c>
      <c r="S23" s="28">
        <f t="shared" ref="S23:S32" si="32">I23+N23</f>
        <v>0</v>
      </c>
      <c r="T23" s="28">
        <f t="shared" ref="T23:T32" si="33">J23+O23</f>
        <v>0</v>
      </c>
      <c r="U23" s="28">
        <v>0</v>
      </c>
      <c r="V23" s="28">
        <f t="shared" ref="V23:V32" si="34">L23+Q23</f>
        <v>744.09999999999991</v>
      </c>
      <c r="W23" s="28">
        <f t="shared" ref="W23:W32" si="35">SUM(R23:V23)</f>
        <v>751.19999999999993</v>
      </c>
      <c r="X23" s="37">
        <f t="shared" si="21"/>
        <v>3</v>
      </c>
      <c r="Y23" s="37">
        <f t="shared" si="22"/>
        <v>0</v>
      </c>
      <c r="Z23" s="31">
        <f t="shared" si="23"/>
        <v>0</v>
      </c>
      <c r="AA23" s="31">
        <f t="shared" si="24"/>
        <v>0</v>
      </c>
      <c r="AB23" s="31">
        <f t="shared" si="25"/>
        <v>297</v>
      </c>
      <c r="AC23" s="32">
        <f t="shared" si="26"/>
        <v>454.36999999999995</v>
      </c>
      <c r="AD23" s="32">
        <f t="shared" si="27"/>
        <v>300</v>
      </c>
      <c r="AE23" s="33">
        <f t="shared" ref="AE23:AE32" si="36">TRUNC(C23/176,1)</f>
        <v>172864.8</v>
      </c>
      <c r="AF23" s="34">
        <f t="shared" si="28"/>
        <v>518594.4</v>
      </c>
      <c r="AG23" s="34">
        <f t="shared" si="29"/>
        <v>0</v>
      </c>
      <c r="AH23" s="34">
        <f t="shared" si="30"/>
        <v>0</v>
      </c>
      <c r="AI23" s="34">
        <f t="shared" si="31"/>
        <v>0</v>
      </c>
      <c r="AJ23" s="34">
        <f t="shared" ref="AJ23:AJ32" si="37">TRUNC(AB23*AE23,2)</f>
        <v>51340845.600000001</v>
      </c>
      <c r="AK23" s="35">
        <f t="shared" ref="AK23:AK32" si="38">TRUNC(AD23*AE23,2)</f>
        <v>51859440</v>
      </c>
      <c r="AL23" s="35">
        <f t="shared" ref="AL23:AL33" si="39">AK23</f>
        <v>51859440</v>
      </c>
    </row>
    <row r="24" spans="1:38" ht="25.5">
      <c r="A24" s="24">
        <v>3</v>
      </c>
      <c r="B24" s="25" t="s">
        <v>26</v>
      </c>
      <c r="C24" s="26">
        <v>31535312</v>
      </c>
      <c r="D24" s="27">
        <v>270</v>
      </c>
      <c r="E24" s="28">
        <v>0</v>
      </c>
      <c r="F24" s="28">
        <v>0</v>
      </c>
      <c r="G24" s="29">
        <v>270</v>
      </c>
      <c r="H24" s="28">
        <v>67.5</v>
      </c>
      <c r="I24" s="28">
        <v>32</v>
      </c>
      <c r="J24" s="28">
        <v>0</v>
      </c>
      <c r="K24" s="30">
        <v>0</v>
      </c>
      <c r="L24" s="28">
        <v>331.95</v>
      </c>
      <c r="M24" s="28">
        <v>0</v>
      </c>
      <c r="N24" s="28">
        <v>0</v>
      </c>
      <c r="O24" s="28">
        <v>60</v>
      </c>
      <c r="P24" s="28">
        <v>0</v>
      </c>
      <c r="Q24" s="28">
        <v>160</v>
      </c>
      <c r="R24" s="28">
        <f>H24+M24</f>
        <v>67.5</v>
      </c>
      <c r="S24" s="28">
        <f t="shared" si="32"/>
        <v>32</v>
      </c>
      <c r="T24" s="28">
        <f t="shared" si="33"/>
        <v>60</v>
      </c>
      <c r="U24" s="28">
        <v>0</v>
      </c>
      <c r="V24" s="28">
        <f t="shared" si="34"/>
        <v>491.95</v>
      </c>
      <c r="W24" s="28">
        <f t="shared" si="35"/>
        <v>651.45000000000005</v>
      </c>
      <c r="X24" s="37">
        <f t="shared" si="21"/>
        <v>31</v>
      </c>
      <c r="Y24" s="37">
        <f t="shared" si="22"/>
        <v>15</v>
      </c>
      <c r="Z24" s="31">
        <f t="shared" si="23"/>
        <v>28</v>
      </c>
      <c r="AA24" s="31">
        <f t="shared" si="24"/>
        <v>0</v>
      </c>
      <c r="AB24" s="31">
        <f t="shared" si="25"/>
        <v>226</v>
      </c>
      <c r="AC24" s="32">
        <f t="shared" si="26"/>
        <v>381.45000000000005</v>
      </c>
      <c r="AD24" s="32">
        <f t="shared" si="27"/>
        <v>300</v>
      </c>
      <c r="AE24" s="33">
        <f t="shared" si="36"/>
        <v>179177.9</v>
      </c>
      <c r="AF24" s="34">
        <f t="shared" si="28"/>
        <v>5554514.9000000004</v>
      </c>
      <c r="AG24" s="34">
        <f t="shared" si="29"/>
        <v>2687668.5</v>
      </c>
      <c r="AH24" s="34">
        <f t="shared" si="30"/>
        <v>5016981.2</v>
      </c>
      <c r="AI24" s="34">
        <f t="shared" si="31"/>
        <v>0</v>
      </c>
      <c r="AJ24" s="34">
        <f t="shared" si="37"/>
        <v>40494205.399999999</v>
      </c>
      <c r="AK24" s="35">
        <f t="shared" si="38"/>
        <v>53753370</v>
      </c>
      <c r="AL24" s="35">
        <f t="shared" si="39"/>
        <v>53753370</v>
      </c>
    </row>
    <row r="25" spans="1:38" ht="25.5">
      <c r="A25" s="24">
        <v>4</v>
      </c>
      <c r="B25" s="25" t="s">
        <v>27</v>
      </c>
      <c r="C25" s="26">
        <v>21891845</v>
      </c>
      <c r="D25" s="27">
        <v>270</v>
      </c>
      <c r="E25" s="29">
        <v>40.5</v>
      </c>
      <c r="F25" s="28">
        <v>0</v>
      </c>
      <c r="G25" s="29">
        <v>144.5</v>
      </c>
      <c r="H25" s="28">
        <v>0</v>
      </c>
      <c r="I25" s="29">
        <v>130</v>
      </c>
      <c r="J25" s="28">
        <v>0</v>
      </c>
      <c r="K25" s="30">
        <v>0</v>
      </c>
      <c r="L25" s="28">
        <f>54.6+26.13</f>
        <v>80.73</v>
      </c>
      <c r="M25" s="28">
        <f>24.39+11</f>
        <v>35.39</v>
      </c>
      <c r="N25" s="28">
        <v>0</v>
      </c>
      <c r="O25" s="28">
        <v>0</v>
      </c>
      <c r="P25" s="28">
        <v>0</v>
      </c>
      <c r="Q25" s="28">
        <f>50+320.48</f>
        <v>370.48</v>
      </c>
      <c r="R25" s="28">
        <f t="shared" ref="R25:R32" si="40">H25+M25</f>
        <v>35.39</v>
      </c>
      <c r="S25" s="28">
        <f t="shared" si="32"/>
        <v>130</v>
      </c>
      <c r="T25" s="28">
        <f t="shared" si="33"/>
        <v>0</v>
      </c>
      <c r="U25" s="28">
        <v>0</v>
      </c>
      <c r="V25" s="28">
        <f t="shared" si="34"/>
        <v>451.21000000000004</v>
      </c>
      <c r="W25" s="28">
        <f t="shared" si="35"/>
        <v>616.6</v>
      </c>
      <c r="X25" s="38">
        <f t="shared" si="21"/>
        <v>17</v>
      </c>
      <c r="Y25" s="38">
        <f t="shared" si="22"/>
        <v>63</v>
      </c>
      <c r="Z25" s="39">
        <f t="shared" si="23"/>
        <v>0</v>
      </c>
      <c r="AA25" s="39">
        <f t="shared" si="24"/>
        <v>0</v>
      </c>
      <c r="AB25" s="39">
        <f t="shared" si="25"/>
        <v>220</v>
      </c>
      <c r="AC25" s="39">
        <f t="shared" si="26"/>
        <v>472.1</v>
      </c>
      <c r="AD25" s="40">
        <f t="shared" si="27"/>
        <v>300</v>
      </c>
      <c r="AE25" s="41">
        <f t="shared" si="36"/>
        <v>124385.4</v>
      </c>
      <c r="AF25" s="34">
        <f t="shared" si="28"/>
        <v>2114551.7999999998</v>
      </c>
      <c r="AG25" s="34">
        <f t="shared" si="29"/>
        <v>7836280.2000000002</v>
      </c>
      <c r="AH25" s="34">
        <f t="shared" si="30"/>
        <v>0</v>
      </c>
      <c r="AI25" s="34">
        <f t="shared" si="31"/>
        <v>0</v>
      </c>
      <c r="AJ25" s="34">
        <f t="shared" si="37"/>
        <v>27364788</v>
      </c>
      <c r="AK25" s="35">
        <f t="shared" si="38"/>
        <v>37315620</v>
      </c>
      <c r="AL25" s="35">
        <f t="shared" si="39"/>
        <v>37315620</v>
      </c>
    </row>
    <row r="26" spans="1:38" ht="38.25">
      <c r="A26" s="24">
        <v>5</v>
      </c>
      <c r="B26" s="25" t="s">
        <v>28</v>
      </c>
      <c r="C26" s="26">
        <v>18941457</v>
      </c>
      <c r="D26" s="27">
        <v>270</v>
      </c>
      <c r="E26" s="28">
        <v>40.5</v>
      </c>
      <c r="F26" s="29">
        <v>0</v>
      </c>
      <c r="G26" s="29">
        <f>D26-E26</f>
        <v>229.5</v>
      </c>
      <c r="H26" s="28">
        <v>38.700000000000003</v>
      </c>
      <c r="I26" s="28">
        <v>50.25</v>
      </c>
      <c r="J26" s="28">
        <v>0</v>
      </c>
      <c r="K26" s="30">
        <v>0</v>
      </c>
      <c r="L26" s="28">
        <v>34.75</v>
      </c>
      <c r="M26" s="28">
        <v>40.07</v>
      </c>
      <c r="N26" s="28">
        <v>0</v>
      </c>
      <c r="O26" s="28">
        <v>0</v>
      </c>
      <c r="P26" s="28">
        <v>0</v>
      </c>
      <c r="Q26" s="28">
        <v>385.56</v>
      </c>
      <c r="R26" s="28">
        <f t="shared" si="40"/>
        <v>78.77000000000001</v>
      </c>
      <c r="S26" s="28">
        <f t="shared" si="32"/>
        <v>50.25</v>
      </c>
      <c r="T26" s="28">
        <f t="shared" si="33"/>
        <v>0</v>
      </c>
      <c r="U26" s="28">
        <v>0</v>
      </c>
      <c r="V26" s="28">
        <f t="shared" si="34"/>
        <v>420.31</v>
      </c>
      <c r="W26" s="28">
        <f t="shared" si="35"/>
        <v>549.33000000000004</v>
      </c>
      <c r="X26" s="37">
        <f t="shared" si="21"/>
        <v>43</v>
      </c>
      <c r="Y26" s="37">
        <f t="shared" si="22"/>
        <v>27</v>
      </c>
      <c r="Z26" s="31">
        <f t="shared" si="23"/>
        <v>0</v>
      </c>
      <c r="AA26" s="31">
        <f t="shared" si="24"/>
        <v>0</v>
      </c>
      <c r="AB26" s="31">
        <f t="shared" si="25"/>
        <v>230</v>
      </c>
      <c r="AC26" s="32">
        <f t="shared" si="26"/>
        <v>319.83000000000004</v>
      </c>
      <c r="AD26" s="32">
        <f t="shared" si="27"/>
        <v>300</v>
      </c>
      <c r="AE26" s="33">
        <f t="shared" si="36"/>
        <v>107621.9</v>
      </c>
      <c r="AF26" s="34">
        <f t="shared" si="28"/>
        <v>4627741.7</v>
      </c>
      <c r="AG26" s="34">
        <f t="shared" si="29"/>
        <v>2905791.3</v>
      </c>
      <c r="AH26" s="34">
        <f t="shared" si="30"/>
        <v>0</v>
      </c>
      <c r="AI26" s="34">
        <f t="shared" si="31"/>
        <v>0</v>
      </c>
      <c r="AJ26" s="34">
        <f t="shared" si="37"/>
        <v>24753037</v>
      </c>
      <c r="AK26" s="35">
        <f t="shared" si="38"/>
        <v>32286570</v>
      </c>
      <c r="AL26" s="35">
        <f t="shared" si="39"/>
        <v>32286570</v>
      </c>
    </row>
    <row r="27" spans="1:38" ht="25.5">
      <c r="A27" s="24">
        <v>6</v>
      </c>
      <c r="B27" s="25" t="s">
        <v>29</v>
      </c>
      <c r="C27" s="26">
        <v>19418443</v>
      </c>
      <c r="D27" s="27">
        <v>270</v>
      </c>
      <c r="E27" s="28">
        <v>54</v>
      </c>
      <c r="F27" s="28">
        <v>0</v>
      </c>
      <c r="G27" s="29">
        <v>216</v>
      </c>
      <c r="H27" s="28">
        <v>0</v>
      </c>
      <c r="I27" s="28">
        <v>42.63</v>
      </c>
      <c r="J27" s="29">
        <v>30</v>
      </c>
      <c r="K27" s="30">
        <v>0</v>
      </c>
      <c r="L27" s="42">
        <v>121.13</v>
      </c>
      <c r="M27" s="28">
        <v>19.5</v>
      </c>
      <c r="N27" s="28">
        <v>37.5</v>
      </c>
      <c r="O27" s="42">
        <v>105.25</v>
      </c>
      <c r="P27" s="28">
        <v>0</v>
      </c>
      <c r="Q27" s="28">
        <v>175</v>
      </c>
      <c r="R27" s="28">
        <f t="shared" si="40"/>
        <v>19.5</v>
      </c>
      <c r="S27" s="28">
        <f t="shared" si="32"/>
        <v>80.13</v>
      </c>
      <c r="T27" s="28">
        <f t="shared" si="33"/>
        <v>135.25</v>
      </c>
      <c r="U27" s="28">
        <v>0</v>
      </c>
      <c r="V27" s="28">
        <f t="shared" si="34"/>
        <v>296.13</v>
      </c>
      <c r="W27" s="28">
        <f t="shared" si="35"/>
        <v>531.01</v>
      </c>
      <c r="X27" s="37">
        <f t="shared" si="21"/>
        <v>11</v>
      </c>
      <c r="Y27" s="37">
        <f t="shared" si="22"/>
        <v>45</v>
      </c>
      <c r="Z27" s="31">
        <f t="shared" si="23"/>
        <v>76</v>
      </c>
      <c r="AA27" s="31">
        <f t="shared" si="24"/>
        <v>0</v>
      </c>
      <c r="AB27" s="31">
        <f t="shared" si="25"/>
        <v>168</v>
      </c>
      <c r="AC27" s="32">
        <f t="shared" si="26"/>
        <v>315.01</v>
      </c>
      <c r="AD27" s="32">
        <f t="shared" si="27"/>
        <v>300</v>
      </c>
      <c r="AE27" s="33">
        <f t="shared" si="36"/>
        <v>110332</v>
      </c>
      <c r="AF27" s="34">
        <f t="shared" si="28"/>
        <v>1213652</v>
      </c>
      <c r="AG27" s="34">
        <f t="shared" si="29"/>
        <v>4964940</v>
      </c>
      <c r="AH27" s="34">
        <f t="shared" si="30"/>
        <v>8385232</v>
      </c>
      <c r="AI27" s="34">
        <f t="shared" si="31"/>
        <v>0</v>
      </c>
      <c r="AJ27" s="34">
        <f t="shared" si="37"/>
        <v>18535776</v>
      </c>
      <c r="AK27" s="35">
        <f t="shared" si="38"/>
        <v>33099600</v>
      </c>
      <c r="AL27" s="35">
        <f t="shared" si="39"/>
        <v>33099600</v>
      </c>
    </row>
    <row r="28" spans="1:38" ht="25.5">
      <c r="A28" s="24">
        <v>7</v>
      </c>
      <c r="B28" s="25" t="s">
        <v>30</v>
      </c>
      <c r="C28" s="26">
        <v>18126459</v>
      </c>
      <c r="D28" s="27">
        <v>270</v>
      </c>
      <c r="E28" s="29">
        <v>135</v>
      </c>
      <c r="F28" s="28">
        <v>0</v>
      </c>
      <c r="G28" s="29">
        <v>135</v>
      </c>
      <c r="H28" s="28">
        <v>126.38</v>
      </c>
      <c r="I28" s="28">
        <v>0</v>
      </c>
      <c r="J28" s="28">
        <v>0</v>
      </c>
      <c r="K28" s="30">
        <v>0</v>
      </c>
      <c r="L28" s="28">
        <v>49.88</v>
      </c>
      <c r="M28" s="28">
        <v>43.88</v>
      </c>
      <c r="N28" s="28">
        <v>3.88</v>
      </c>
      <c r="O28" s="28">
        <v>0</v>
      </c>
      <c r="P28" s="28">
        <v>0</v>
      </c>
      <c r="Q28" s="28">
        <v>273.33</v>
      </c>
      <c r="R28" s="28">
        <f t="shared" si="40"/>
        <v>170.26</v>
      </c>
      <c r="S28" s="28">
        <f t="shared" si="32"/>
        <v>3.88</v>
      </c>
      <c r="T28" s="28">
        <f t="shared" si="33"/>
        <v>0</v>
      </c>
      <c r="U28" s="28">
        <v>0</v>
      </c>
      <c r="V28" s="28">
        <f t="shared" si="34"/>
        <v>323.20999999999998</v>
      </c>
      <c r="W28" s="28">
        <f t="shared" si="35"/>
        <v>497.34999999999997</v>
      </c>
      <c r="X28" s="37">
        <f t="shared" si="21"/>
        <v>103</v>
      </c>
      <c r="Y28" s="37">
        <f t="shared" si="22"/>
        <v>2</v>
      </c>
      <c r="Z28" s="31">
        <f t="shared" si="23"/>
        <v>0</v>
      </c>
      <c r="AA28" s="31">
        <f t="shared" si="24"/>
        <v>0</v>
      </c>
      <c r="AB28" s="31">
        <f t="shared" si="25"/>
        <v>195</v>
      </c>
      <c r="AC28" s="32">
        <f t="shared" si="26"/>
        <v>362.34999999999997</v>
      </c>
      <c r="AD28" s="32">
        <f t="shared" si="27"/>
        <v>300</v>
      </c>
      <c r="AE28" s="33">
        <f t="shared" si="36"/>
        <v>102991.2</v>
      </c>
      <c r="AF28" s="34">
        <f t="shared" si="28"/>
        <v>10608093.6</v>
      </c>
      <c r="AG28" s="34">
        <f t="shared" si="29"/>
        <v>205982.4</v>
      </c>
      <c r="AH28" s="34">
        <f t="shared" si="30"/>
        <v>0</v>
      </c>
      <c r="AI28" s="34">
        <f t="shared" si="31"/>
        <v>0</v>
      </c>
      <c r="AJ28" s="34">
        <f t="shared" si="37"/>
        <v>20083284</v>
      </c>
      <c r="AK28" s="35">
        <f t="shared" si="38"/>
        <v>30897360</v>
      </c>
      <c r="AL28" s="35">
        <f t="shared" si="39"/>
        <v>30897360</v>
      </c>
    </row>
    <row r="29" spans="1:38" ht="38.25">
      <c r="A29" s="24">
        <v>8</v>
      </c>
      <c r="B29" s="25" t="s">
        <v>31</v>
      </c>
      <c r="C29" s="26">
        <v>16841359</v>
      </c>
      <c r="D29" s="27">
        <v>270</v>
      </c>
      <c r="E29" s="28">
        <v>81</v>
      </c>
      <c r="F29" s="28">
        <v>0</v>
      </c>
      <c r="G29" s="29">
        <v>189</v>
      </c>
      <c r="H29" s="28">
        <v>153.26</v>
      </c>
      <c r="I29" s="29">
        <v>0</v>
      </c>
      <c r="J29" s="43">
        <v>59.13</v>
      </c>
      <c r="K29" s="30">
        <v>0</v>
      </c>
      <c r="L29" s="28">
        <v>67.5</v>
      </c>
      <c r="M29" s="44">
        <v>9.8800000000000008</v>
      </c>
      <c r="N29" s="44">
        <v>2.62</v>
      </c>
      <c r="O29" s="28">
        <v>0</v>
      </c>
      <c r="P29" s="28">
        <v>0</v>
      </c>
      <c r="Q29" s="28">
        <f>118.88+80</f>
        <v>198.88</v>
      </c>
      <c r="R29" s="28">
        <f t="shared" si="40"/>
        <v>163.13999999999999</v>
      </c>
      <c r="S29" s="28">
        <f t="shared" si="32"/>
        <v>2.62</v>
      </c>
      <c r="T29" s="28">
        <f t="shared" si="33"/>
        <v>59.13</v>
      </c>
      <c r="U29" s="28">
        <v>0</v>
      </c>
      <c r="V29" s="28">
        <f t="shared" si="34"/>
        <v>266.38</v>
      </c>
      <c r="W29" s="28">
        <f t="shared" si="35"/>
        <v>491.27</v>
      </c>
      <c r="X29" s="37">
        <f t="shared" si="21"/>
        <v>100</v>
      </c>
      <c r="Y29" s="37">
        <f t="shared" si="22"/>
        <v>2</v>
      </c>
      <c r="Z29" s="31">
        <f t="shared" si="23"/>
        <v>36</v>
      </c>
      <c r="AA29" s="31">
        <f t="shared" si="24"/>
        <v>0</v>
      </c>
      <c r="AB29" s="31">
        <f t="shared" si="25"/>
        <v>162</v>
      </c>
      <c r="AC29" s="32">
        <f t="shared" si="26"/>
        <v>302.27</v>
      </c>
      <c r="AD29" s="32">
        <f t="shared" si="27"/>
        <v>300</v>
      </c>
      <c r="AE29" s="33">
        <f t="shared" si="36"/>
        <v>95689.5</v>
      </c>
      <c r="AF29" s="34">
        <f t="shared" si="28"/>
        <v>9568950</v>
      </c>
      <c r="AG29" s="34">
        <f t="shared" si="29"/>
        <v>191379</v>
      </c>
      <c r="AH29" s="34">
        <f t="shared" si="30"/>
        <v>3444822</v>
      </c>
      <c r="AI29" s="34">
        <f t="shared" si="31"/>
        <v>0</v>
      </c>
      <c r="AJ29" s="34">
        <f t="shared" si="37"/>
        <v>15501699</v>
      </c>
      <c r="AK29" s="35">
        <f t="shared" si="38"/>
        <v>28706850</v>
      </c>
      <c r="AL29" s="35">
        <f t="shared" si="39"/>
        <v>28706850</v>
      </c>
    </row>
    <row r="30" spans="1:38" ht="25.5">
      <c r="A30" s="24">
        <v>9</v>
      </c>
      <c r="B30" s="25" t="s">
        <v>32</v>
      </c>
      <c r="C30" s="26">
        <v>14926602</v>
      </c>
      <c r="D30" s="27">
        <v>270</v>
      </c>
      <c r="E30" s="28">
        <v>0</v>
      </c>
      <c r="F30" s="28">
        <v>0</v>
      </c>
      <c r="G30" s="29">
        <v>270</v>
      </c>
      <c r="H30" s="28">
        <f>100+5.25</f>
        <v>105.25</v>
      </c>
      <c r="I30" s="29">
        <f>10.4</f>
        <v>10.4</v>
      </c>
      <c r="J30" s="29">
        <v>0</v>
      </c>
      <c r="K30" s="30">
        <v>0</v>
      </c>
      <c r="L30" s="42">
        <v>105.14</v>
      </c>
      <c r="M30" s="28">
        <v>0</v>
      </c>
      <c r="N30" s="28">
        <f>60+2</f>
        <v>62</v>
      </c>
      <c r="O30" s="28">
        <v>0</v>
      </c>
      <c r="P30" s="28">
        <v>0</v>
      </c>
      <c r="Q30" s="28">
        <f>141.51+250</f>
        <v>391.51</v>
      </c>
      <c r="R30" s="28">
        <f t="shared" si="40"/>
        <v>105.25</v>
      </c>
      <c r="S30" s="28">
        <f t="shared" si="32"/>
        <v>72.400000000000006</v>
      </c>
      <c r="T30" s="28">
        <f t="shared" si="33"/>
        <v>0</v>
      </c>
      <c r="U30" s="28">
        <v>0</v>
      </c>
      <c r="V30" s="28">
        <f t="shared" si="34"/>
        <v>496.65</v>
      </c>
      <c r="W30" s="28">
        <f t="shared" si="35"/>
        <v>674.3</v>
      </c>
      <c r="X30" s="37">
        <f t="shared" si="21"/>
        <v>47</v>
      </c>
      <c r="Y30" s="37">
        <f t="shared" si="22"/>
        <v>32</v>
      </c>
      <c r="Z30" s="31">
        <f t="shared" si="23"/>
        <v>0</v>
      </c>
      <c r="AA30" s="31">
        <f t="shared" si="24"/>
        <v>0</v>
      </c>
      <c r="AB30" s="31">
        <f t="shared" si="25"/>
        <v>221</v>
      </c>
      <c r="AC30" s="32">
        <f t="shared" si="26"/>
        <v>404.29999999999995</v>
      </c>
      <c r="AD30" s="32">
        <f t="shared" si="27"/>
        <v>300</v>
      </c>
      <c r="AE30" s="33">
        <f t="shared" si="36"/>
        <v>84810.2</v>
      </c>
      <c r="AF30" s="34">
        <f t="shared" si="28"/>
        <v>3986079.4</v>
      </c>
      <c r="AG30" s="34">
        <f t="shared" si="29"/>
        <v>2713926.4</v>
      </c>
      <c r="AH30" s="34">
        <f t="shared" si="30"/>
        <v>0</v>
      </c>
      <c r="AI30" s="34">
        <f t="shared" si="31"/>
        <v>0</v>
      </c>
      <c r="AJ30" s="34">
        <f t="shared" si="37"/>
        <v>18743054.199999999</v>
      </c>
      <c r="AK30" s="35">
        <f t="shared" si="38"/>
        <v>25443060</v>
      </c>
      <c r="AL30" s="35">
        <f t="shared" si="39"/>
        <v>25443060</v>
      </c>
    </row>
    <row r="31" spans="1:38" ht="25.5">
      <c r="A31" s="24">
        <v>10</v>
      </c>
      <c r="B31" s="25" t="s">
        <v>33</v>
      </c>
      <c r="C31" s="26">
        <v>11905494</v>
      </c>
      <c r="D31" s="27">
        <v>270</v>
      </c>
      <c r="E31" s="28">
        <v>40.5</v>
      </c>
      <c r="F31" s="45">
        <v>200</v>
      </c>
      <c r="G31" s="29">
        <v>429.5</v>
      </c>
      <c r="H31" s="28">
        <f>159.9</f>
        <v>159.9</v>
      </c>
      <c r="I31" s="29">
        <v>0</v>
      </c>
      <c r="J31" s="29">
        <v>0</v>
      </c>
      <c r="K31" s="30">
        <v>0</v>
      </c>
      <c r="L31" s="46">
        <f>35+103.13</f>
        <v>138.13</v>
      </c>
      <c r="M31" s="28">
        <f>60+39+2.63+6+3.6</f>
        <v>111.22999999999999</v>
      </c>
      <c r="N31" s="46">
        <f>60+39+2.63+3.5+2.6</f>
        <v>107.72999999999999</v>
      </c>
      <c r="O31" s="44">
        <v>2.63</v>
      </c>
      <c r="P31" s="28">
        <v>0</v>
      </c>
      <c r="Q31" s="28">
        <f>20.13+102.88+89.2</f>
        <v>212.20999999999998</v>
      </c>
      <c r="R31" s="28">
        <f t="shared" si="40"/>
        <v>271.13</v>
      </c>
      <c r="S31" s="28">
        <f t="shared" si="32"/>
        <v>107.72999999999999</v>
      </c>
      <c r="T31" s="28">
        <f t="shared" si="33"/>
        <v>2.63</v>
      </c>
      <c r="U31" s="28">
        <v>0</v>
      </c>
      <c r="V31" s="28">
        <f t="shared" si="34"/>
        <v>350.34</v>
      </c>
      <c r="W31" s="28">
        <f t="shared" si="35"/>
        <v>731.82999999999993</v>
      </c>
      <c r="X31" s="37">
        <f t="shared" si="21"/>
        <v>111</v>
      </c>
      <c r="Y31" s="37">
        <f t="shared" si="22"/>
        <v>44</v>
      </c>
      <c r="Z31" s="31">
        <f t="shared" si="23"/>
        <v>1</v>
      </c>
      <c r="AA31" s="31">
        <f t="shared" si="24"/>
        <v>0</v>
      </c>
      <c r="AB31" s="31">
        <f t="shared" si="25"/>
        <v>144</v>
      </c>
      <c r="AC31" s="32">
        <f t="shared" si="26"/>
        <v>302.32999999999993</v>
      </c>
      <c r="AD31" s="32">
        <f t="shared" si="27"/>
        <v>300</v>
      </c>
      <c r="AE31" s="33">
        <f t="shared" si="36"/>
        <v>67644.800000000003</v>
      </c>
      <c r="AF31" s="34">
        <f t="shared" si="28"/>
        <v>7508572.7999999998</v>
      </c>
      <c r="AG31" s="34">
        <f t="shared" si="29"/>
        <v>2976371.2</v>
      </c>
      <c r="AH31" s="34">
        <f t="shared" si="30"/>
        <v>67644.800000000003</v>
      </c>
      <c r="AI31" s="34">
        <f t="shared" si="31"/>
        <v>0</v>
      </c>
      <c r="AJ31" s="34">
        <f t="shared" si="37"/>
        <v>9740851.1999999993</v>
      </c>
      <c r="AK31" s="35">
        <f t="shared" si="38"/>
        <v>20293440</v>
      </c>
      <c r="AL31" s="35">
        <f t="shared" si="39"/>
        <v>20293440</v>
      </c>
    </row>
    <row r="32" spans="1:38" ht="25.5">
      <c r="A32" s="24">
        <v>11</v>
      </c>
      <c r="B32" s="25" t="s">
        <v>34</v>
      </c>
      <c r="C32" s="26">
        <v>16323185</v>
      </c>
      <c r="D32" s="27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30">
        <v>0</v>
      </c>
      <c r="L32" s="28">
        <v>0</v>
      </c>
      <c r="M32" s="28">
        <v>1.5</v>
      </c>
      <c r="N32" s="28">
        <v>0</v>
      </c>
      <c r="O32" s="28">
        <v>0</v>
      </c>
      <c r="P32" s="28">
        <v>0</v>
      </c>
      <c r="Q32" s="28">
        <v>51.7</v>
      </c>
      <c r="R32" s="28">
        <f t="shared" si="40"/>
        <v>1.5</v>
      </c>
      <c r="S32" s="28">
        <f t="shared" si="32"/>
        <v>0</v>
      </c>
      <c r="T32" s="28">
        <f t="shared" si="33"/>
        <v>0</v>
      </c>
      <c r="U32" s="28">
        <v>0</v>
      </c>
      <c r="V32" s="28">
        <f t="shared" si="34"/>
        <v>51.7</v>
      </c>
      <c r="W32" s="28">
        <f t="shared" si="35"/>
        <v>53.2</v>
      </c>
      <c r="X32" s="37">
        <f t="shared" si="21"/>
        <v>2</v>
      </c>
      <c r="Y32" s="37">
        <f t="shared" si="22"/>
        <v>0</v>
      </c>
      <c r="Z32" s="31">
        <f t="shared" si="23"/>
        <v>0</v>
      </c>
      <c r="AA32" s="31">
        <f t="shared" si="24"/>
        <v>0</v>
      </c>
      <c r="AB32" s="31">
        <f t="shared" si="25"/>
        <v>51.2</v>
      </c>
      <c r="AC32" s="32">
        <f t="shared" si="26"/>
        <v>53.2</v>
      </c>
      <c r="AD32" s="32">
        <f t="shared" si="27"/>
        <v>53.2</v>
      </c>
      <c r="AE32" s="33">
        <f t="shared" si="36"/>
        <v>92745.3</v>
      </c>
      <c r="AF32" s="34">
        <f t="shared" si="28"/>
        <v>185490.6</v>
      </c>
      <c r="AG32" s="34">
        <f t="shared" si="29"/>
        <v>0</v>
      </c>
      <c r="AH32" s="34">
        <f t="shared" si="30"/>
        <v>0</v>
      </c>
      <c r="AI32" s="34">
        <f t="shared" si="31"/>
        <v>0</v>
      </c>
      <c r="AJ32" s="34">
        <f t="shared" si="37"/>
        <v>4748559.3600000003</v>
      </c>
      <c r="AK32" s="35">
        <f t="shared" si="38"/>
        <v>4934049.96</v>
      </c>
      <c r="AL32" s="35">
        <f t="shared" si="39"/>
        <v>4934049.96</v>
      </c>
    </row>
    <row r="33" spans="1:38">
      <c r="A33" s="68" t="s">
        <v>35</v>
      </c>
      <c r="B33" s="69"/>
      <c r="C33" s="47"/>
      <c r="D33" s="48">
        <f t="shared" ref="D33:AD33" si="41">SUM(D22:D31)</f>
        <v>2700</v>
      </c>
      <c r="E33" s="48">
        <f t="shared" si="41"/>
        <v>513</v>
      </c>
      <c r="F33" s="47">
        <f t="shared" si="41"/>
        <v>267.33</v>
      </c>
      <c r="G33" s="48">
        <f t="shared" si="41"/>
        <v>2369.33</v>
      </c>
      <c r="H33" s="48">
        <f t="shared" si="41"/>
        <v>650.99</v>
      </c>
      <c r="I33" s="48">
        <f t="shared" si="41"/>
        <v>265.27999999999997</v>
      </c>
      <c r="J33" s="48">
        <f t="shared" si="41"/>
        <v>89.13</v>
      </c>
      <c r="K33" s="48"/>
      <c r="L33" s="48">
        <f t="shared" ref="L33:AL33" si="42">SUM(L22:L31)</f>
        <v>1127.71</v>
      </c>
      <c r="M33" s="48">
        <f t="shared" si="42"/>
        <v>267.04999999999995</v>
      </c>
      <c r="N33" s="48">
        <f t="shared" si="42"/>
        <v>213.73</v>
      </c>
      <c r="O33" s="48">
        <f t="shared" si="42"/>
        <v>167.88</v>
      </c>
      <c r="P33" s="48"/>
      <c r="Q33" s="48">
        <f t="shared" ref="Q33:AL33" si="43">SUM(Q22:Q31)</f>
        <v>3287.62</v>
      </c>
      <c r="R33" s="48">
        <f t="shared" si="43"/>
        <v>918.04</v>
      </c>
      <c r="S33" s="48">
        <f t="shared" si="43"/>
        <v>479.01</v>
      </c>
      <c r="T33" s="48">
        <f t="shared" si="43"/>
        <v>257.01</v>
      </c>
      <c r="U33" s="48"/>
      <c r="V33" s="48">
        <f t="shared" ref="V33:AL33" si="44">SUM(V22:V31)</f>
        <v>4415.33</v>
      </c>
      <c r="W33" s="48">
        <f t="shared" si="44"/>
        <v>6069.39</v>
      </c>
      <c r="X33" s="48">
        <f t="shared" si="44"/>
        <v>466</v>
      </c>
      <c r="Y33" s="48">
        <f t="shared" si="44"/>
        <v>230</v>
      </c>
      <c r="Z33" s="48">
        <f t="shared" si="44"/>
        <v>141</v>
      </c>
      <c r="AA33" s="48">
        <f t="shared" si="44"/>
        <v>0</v>
      </c>
      <c r="AB33" s="48">
        <f t="shared" si="44"/>
        <v>2163</v>
      </c>
      <c r="AC33" s="48">
        <f t="shared" si="44"/>
        <v>3700.0599999999995</v>
      </c>
      <c r="AD33" s="48">
        <f t="shared" si="44"/>
        <v>3000</v>
      </c>
      <c r="AE33" s="48"/>
      <c r="AF33" s="49">
        <f>SUM(AF22:AF32)</f>
        <v>45886241.199999996</v>
      </c>
      <c r="AG33" s="49">
        <f t="shared" ref="AG33:AK33" si="45">SUM(AG22:AG32)</f>
        <v>24482338.999999996</v>
      </c>
      <c r="AH33" s="49">
        <f t="shared" si="45"/>
        <v>16914680</v>
      </c>
      <c r="AI33" s="49">
        <f t="shared" si="45"/>
        <v>0</v>
      </c>
      <c r="AJ33" s="49">
        <f t="shared" si="45"/>
        <v>269728989.75999999</v>
      </c>
      <c r="AK33" s="49">
        <f t="shared" si="45"/>
        <v>357012249.95999998</v>
      </c>
      <c r="AL33" s="50">
        <f t="shared" si="39"/>
        <v>357012249.95999998</v>
      </c>
    </row>
    <row r="34" spans="1:38" ht="18.75">
      <c r="A34" s="51"/>
      <c r="B34" s="58" t="s">
        <v>36</v>
      </c>
      <c r="C34" s="58"/>
      <c r="D34" s="58"/>
      <c r="E34" s="58" t="s">
        <v>37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6" spans="1:38" ht="18.75">
      <c r="A36" s="3"/>
      <c r="B36" s="1" t="s">
        <v>38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52"/>
      <c r="X36" s="52"/>
      <c r="Y36" s="52"/>
      <c r="Z36" s="52"/>
      <c r="AA36" s="52"/>
      <c r="AB36" s="52"/>
      <c r="AC36" s="52"/>
      <c r="AD36" s="1" t="s">
        <v>39</v>
      </c>
      <c r="AE36" s="1"/>
      <c r="AF36" s="1"/>
      <c r="AG36" s="1"/>
      <c r="AH36" s="1"/>
      <c r="AI36" s="1"/>
      <c r="AJ36" s="1"/>
      <c r="AK36" s="1"/>
      <c r="AL36" s="52"/>
    </row>
    <row r="37" spans="1:38" ht="18.75">
      <c r="A37" s="3"/>
      <c r="B37" s="53"/>
      <c r="C37" s="53"/>
      <c r="D37" s="53"/>
      <c r="E37" s="54"/>
      <c r="F37" s="54"/>
      <c r="G37" s="54"/>
      <c r="H37" s="54"/>
      <c r="I37" s="54"/>
      <c r="J37" s="54"/>
      <c r="K37" s="5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54"/>
      <c r="AC37" s="54"/>
      <c r="AD37" s="54"/>
      <c r="AE37" s="55"/>
      <c r="AF37" s="55"/>
      <c r="AG37" s="55"/>
      <c r="AH37" s="55"/>
      <c r="AI37" s="53"/>
      <c r="AJ37" s="53"/>
      <c r="AK37" s="53"/>
      <c r="AL37" s="56"/>
    </row>
    <row r="38" spans="1:38" ht="18.75">
      <c r="A38" s="3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</row>
    <row r="39" spans="1:38" ht="18.75">
      <c r="A39" s="3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</row>
    <row r="40" spans="1:38" ht="18.75">
      <c r="A40" s="3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</row>
    <row r="41" spans="1:38" ht="18.75">
      <c r="A41" s="3"/>
      <c r="B41" s="1"/>
      <c r="C41" s="1"/>
      <c r="D41" s="1"/>
      <c r="E41" s="1"/>
      <c r="F41" s="57"/>
      <c r="G41" s="55"/>
      <c r="H41" s="55"/>
      <c r="I41" s="55"/>
      <c r="J41" s="55"/>
      <c r="K41" s="55"/>
      <c r="L41" s="1" t="s">
        <v>40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55"/>
      <c r="AC41" s="55"/>
      <c r="AD41" s="55"/>
      <c r="AE41" s="55"/>
      <c r="AF41" s="55"/>
      <c r="AG41" s="55"/>
      <c r="AH41" s="55"/>
      <c r="AI41" s="52"/>
      <c r="AJ41" s="1"/>
      <c r="AK41" s="1"/>
      <c r="AL41" s="1"/>
    </row>
    <row r="42" spans="1:38" ht="18.75">
      <c r="A42" s="3"/>
      <c r="B42" s="1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52"/>
      <c r="X42" s="52"/>
      <c r="Y42" s="52"/>
      <c r="Z42" s="52"/>
      <c r="AA42" s="52"/>
      <c r="AB42" s="52"/>
      <c r="AC42" s="52"/>
      <c r="AD42" s="1" t="s">
        <v>42</v>
      </c>
      <c r="AE42" s="1"/>
      <c r="AF42" s="1"/>
      <c r="AG42" s="1"/>
      <c r="AH42" s="1"/>
      <c r="AI42" s="1"/>
      <c r="AJ42" s="1"/>
      <c r="AK42" s="1"/>
      <c r="AL42" s="55"/>
    </row>
  </sheetData>
  <mergeCells count="35">
    <mergeCell ref="A33:B33"/>
    <mergeCell ref="B34:D34"/>
    <mergeCell ref="E20:AL20"/>
    <mergeCell ref="E34:AL34"/>
    <mergeCell ref="B42:V42"/>
    <mergeCell ref="AD36:AK36"/>
    <mergeCell ref="B36:V36"/>
    <mergeCell ref="B21:AL21"/>
    <mergeCell ref="B7:AL7"/>
    <mergeCell ref="B41:E41"/>
    <mergeCell ref="AI37:AK37"/>
    <mergeCell ref="L37:AA37"/>
    <mergeCell ref="B37:D37"/>
    <mergeCell ref="AD42:AK42"/>
    <mergeCell ref="L41:AA41"/>
    <mergeCell ref="AJ41:AL41"/>
    <mergeCell ref="A19:B19"/>
    <mergeCell ref="B20:D20"/>
    <mergeCell ref="X4:AD5"/>
    <mergeCell ref="AE4:AE6"/>
    <mergeCell ref="AF4:AK5"/>
    <mergeCell ref="AL4:AL6"/>
    <mergeCell ref="H5:L5"/>
    <mergeCell ref="M5:Q5"/>
    <mergeCell ref="R5:W5"/>
    <mergeCell ref="A1:AL1"/>
    <mergeCell ref="A2:AL2"/>
    <mergeCell ref="A4:A6"/>
    <mergeCell ref="B4:B6"/>
    <mergeCell ref="C4:C6"/>
    <mergeCell ref="D4:D6"/>
    <mergeCell ref="E4:E6"/>
    <mergeCell ref="F4:F6"/>
    <mergeCell ref="G4:G6"/>
    <mergeCell ref="H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</dc:creator>
  <cp:lastModifiedBy>Nguyen Viet</cp:lastModifiedBy>
  <dcterms:created xsi:type="dcterms:W3CDTF">2026-06-21T03:59:22Z</dcterms:created>
  <dcterms:modified xsi:type="dcterms:W3CDTF">2026-06-21T11:22:08Z</dcterms:modified>
</cp:coreProperties>
</file>