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xr:revisionPtr revIDLastSave="0" documentId="13_ncr:1_{2BD2AB5C-8BCB-4FFD-AF50-E8247520E030}" xr6:coauthVersionLast="47" xr6:coauthVersionMax="47" xr10:uidLastSave="{00000000-0000-0000-0000-000000000000}"/>
  <bookViews>
    <workbookView xWindow="-98" yWindow="-98" windowWidth="38596" windowHeight="23476" xr2:uid="{00000000-000D-0000-FFFF-FFFF00000000}"/>
  </bookViews>
  <sheets>
    <sheet name="TK giảng dạy vượt giờ" sheetId="1" r:id="rId1"/>
    <sheet name="Dữ liệu không xóa" sheetId="2" r:id="rId2"/>
  </sheets>
  <definedNames>
    <definedName name="_xlnm.Print_Area" localSheetId="0">'TK giảng dạy vượt giờ'!$A$1:$G$197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 i="1" l="1"/>
  <c r="G149" i="1"/>
  <c r="G151" i="1"/>
  <c r="G148" i="1"/>
  <c r="G152" i="1"/>
  <c r="G145" i="1"/>
  <c r="G140" i="1"/>
  <c r="G135" i="1"/>
  <c r="G130" i="1"/>
  <c r="G117" i="1"/>
  <c r="G112" i="1"/>
  <c r="G107" i="1"/>
  <c r="G102" i="1"/>
  <c r="G97" i="1"/>
  <c r="G90" i="1"/>
  <c r="G78" i="1"/>
  <c r="G73" i="1"/>
  <c r="G68" i="1"/>
  <c r="G63" i="1"/>
  <c r="G55" i="1"/>
  <c r="G51" i="1"/>
  <c r="G47" i="1"/>
  <c r="G43" i="1"/>
  <c r="G36" i="1"/>
  <c r="F36" i="1"/>
  <c r="G32" i="1"/>
  <c r="F32" i="1"/>
  <c r="G26" i="1"/>
  <c r="F26" i="1"/>
  <c r="F22" i="1"/>
  <c r="G22" i="1"/>
  <c r="G153" i="1" l="1"/>
  <c r="F188" i="1" l="1"/>
  <c r="D188" i="1"/>
  <c r="D187" i="1"/>
  <c r="D186" i="1"/>
  <c r="D185" i="1"/>
  <c r="D184" i="1"/>
  <c r="C188" i="1"/>
  <c r="C187" i="1"/>
  <c r="C186" i="1"/>
  <c r="C185" i="1"/>
  <c r="C184" i="1"/>
  <c r="G123" i="1"/>
  <c r="F187" i="1"/>
  <c r="F186" i="1"/>
  <c r="F185" i="1"/>
  <c r="F184" i="1"/>
  <c r="G158" i="1"/>
  <c r="G156" i="1"/>
  <c r="G125" i="1" l="1"/>
  <c r="E186" i="1"/>
  <c r="G186" i="1" s="1"/>
  <c r="F189" i="1"/>
  <c r="G118" i="1"/>
  <c r="E188" i="1" l="1"/>
  <c r="G188" i="1" s="1"/>
  <c r="E187" i="1"/>
  <c r="G187" i="1" s="1"/>
  <c r="E185" i="1"/>
  <c r="G185" i="1" s="1"/>
  <c r="E184" i="1"/>
  <c r="G169" i="1"/>
  <c r="E189" i="1" l="1"/>
  <c r="G184" i="1"/>
  <c r="C189" i="1"/>
  <c r="G91" i="1"/>
  <c r="D189" i="1" l="1"/>
  <c r="G189" i="1" s="1"/>
  <c r="G159" i="1" l="1"/>
  <c r="F37" i="1" l="1"/>
  <c r="G56" i="1"/>
  <c r="G164" i="1"/>
  <c r="F171" i="1" s="1"/>
  <c r="E177" i="1" l="1"/>
  <c r="G37" i="1"/>
  <c r="G57" i="1" s="1"/>
  <c r="G119" i="1" s="1"/>
  <c r="E175" i="1" l="1"/>
  <c r="E179" i="1" s="1"/>
  <c r="E180" i="1" s="1"/>
</calcChain>
</file>

<file path=xl/sharedStrings.xml><?xml version="1.0" encoding="utf-8"?>
<sst xmlns="http://schemas.openxmlformats.org/spreadsheetml/2006/main" count="333" uniqueCount="208">
  <si>
    <t>TT</t>
  </si>
  <si>
    <t>Tên học phần</t>
  </si>
  <si>
    <t>Số TC (HT)</t>
  </si>
  <si>
    <t>Lớp học phần</t>
  </si>
  <si>
    <t>Khóa đào tạo</t>
  </si>
  <si>
    <t>Số tiết QC</t>
  </si>
  <si>
    <t>A.GIẢNG DẠY VÀ ĐÁNH GIÁ HỌC PHẦN (không thống kê số giờ đã được thanh toán)</t>
  </si>
  <si>
    <t>Tổng cộng (1):</t>
  </si>
  <si>
    <t>Tổng cộng (2):</t>
  </si>
  <si>
    <t>Tổng cộng (3):</t>
  </si>
  <si>
    <t>Tổng cộng (4):</t>
  </si>
  <si>
    <t>Tổng A.1= (1) + (2) + (3) + (4)</t>
  </si>
  <si>
    <t>Số sinh viên của lớp</t>
  </si>
  <si>
    <t>Tổng cộng (5):</t>
  </si>
  <si>
    <t>Tổng cộng (6):</t>
  </si>
  <si>
    <t>Tổng cộng (7):</t>
  </si>
  <si>
    <t>Tổng cộng (8):</t>
  </si>
  <si>
    <t>Tổng A.2= (5) + (6) + (7) + (8)</t>
  </si>
  <si>
    <t>Ra đề/ Coi thi/ Chấm thi kết thúc học phần</t>
  </si>
  <si>
    <t>Số người HD</t>
  </si>
  <si>
    <t>HD chính/ HD hai</t>
  </si>
  <si>
    <t>Số tiết quy đổi</t>
  </si>
  <si>
    <t>Ngày nghiệm thu</t>
  </si>
  <si>
    <t xml:space="preserve">Kết quả xếp loại </t>
  </si>
  <si>
    <t>Số giờ quy đổi</t>
  </si>
  <si>
    <t>Tên bài báo</t>
  </si>
  <si>
    <t>Loại tạp chí/ hội nghị</t>
  </si>
  <si>
    <t>Chỉ số tạp chí/ hội nghị</t>
  </si>
  <si>
    <t>Số người</t>
  </si>
  <si>
    <t>Tác giả chính/ thành viên</t>
  </si>
  <si>
    <t>Số QĐ công nhận</t>
  </si>
  <si>
    <t>Ngày QĐ công nhận</t>
  </si>
  <si>
    <t>Tên sách, giáo trình</t>
  </si>
  <si>
    <t>Số xuất bản</t>
  </si>
  <si>
    <t>Số trang</t>
  </si>
  <si>
    <t>Tên đề tài</t>
  </si>
  <si>
    <t xml:space="preserve">Kết quả bảo vệ cấp Khoa </t>
  </si>
  <si>
    <t>Kết quả bảo vệ cấp Học viện</t>
  </si>
  <si>
    <t>Số QĐ giao nhiệm vụ</t>
  </si>
  <si>
    <t>Ngày ký QĐ giao nhiệm vụ</t>
  </si>
  <si>
    <t>Nội dung công việc</t>
  </si>
  <si>
    <t>Số tiết</t>
  </si>
  <si>
    <t>I</t>
  </si>
  <si>
    <t>II</t>
  </si>
  <si>
    <t>III</t>
  </si>
  <si>
    <t>IV</t>
  </si>
  <si>
    <t>V</t>
  </si>
  <si>
    <t>Lý do giảm trừ 
tại mục IV</t>
  </si>
  <si>
    <t>Số tiết ra đề/ Coi thi/ Chấm thi</t>
  </si>
  <si>
    <t>Họ tên NCS, Học viên, Sinh viên</t>
  </si>
  <si>
    <t>Số QĐ Giao Luận án, Luận văn, đồ án</t>
  </si>
  <si>
    <t>HỌC VIỆN KỸ THUẬT MẬT MÃ</t>
  </si>
  <si>
    <t>CỘNG HÒA XÃ HỘI CHỦ NGHĨA VIỆT NAM</t>
  </si>
  <si>
    <t>Độc lập - Tự do - Hạnh phúc</t>
  </si>
  <si>
    <t>KÊ KHAI</t>
  </si>
  <si>
    <t>Số tiết theo TKB</t>
  </si>
  <si>
    <t>Số QĐ giao nhiệm vụ, ngày ký QĐ</t>
  </si>
  <si>
    <t>Số QĐ giao nhiệm vụ, ngày ký</t>
  </si>
  <si>
    <t>Việt Nam</t>
  </si>
  <si>
    <r>
      <t xml:space="preserve">NGƯỜI KÊ KHAI
</t>
    </r>
    <r>
      <rPr>
        <i/>
        <sz val="12"/>
        <color theme="1"/>
        <rFont val="Times New Roman"/>
        <family val="1"/>
      </rPr>
      <t>(ký, ghi rõ họ tên)</t>
    </r>
  </si>
  <si>
    <t>Số giờ 
quy đổi</t>
  </si>
  <si>
    <t>KHOA: Công nghệ thông tin</t>
  </si>
  <si>
    <t>HD hai</t>
  </si>
  <si>
    <t>Tên nhiệm vụ</t>
  </si>
  <si>
    <t>Nghiệm vụ được phân công theo quyết định</t>
  </si>
  <si>
    <t>Chủ trì</t>
  </si>
  <si>
    <t>Đạt</t>
  </si>
  <si>
    <t>Hội nghị</t>
  </si>
  <si>
    <t>Hội nghị trong nước</t>
  </si>
  <si>
    <t>Thành viên</t>
  </si>
  <si>
    <t>khá</t>
  </si>
  <si>
    <t>Đối tượng</t>
  </si>
  <si>
    <t>Lào</t>
  </si>
  <si>
    <t>Cuba</t>
  </si>
  <si>
    <t>Đóng HP</t>
  </si>
  <si>
    <t>Tổng:</t>
  </si>
  <si>
    <r>
      <t xml:space="preserve">CHỦ NHIỆM KHOA
</t>
    </r>
    <r>
      <rPr>
        <i/>
        <sz val="12"/>
        <color theme="1"/>
        <rFont val="Times New Roman"/>
        <family val="1"/>
      </rPr>
      <t>(ký, ghi rõ họ tên)</t>
    </r>
  </si>
  <si>
    <t xml:space="preserve">Chức vụ hiện nay (Đảng, CQ, đoàn thể): </t>
  </si>
  <si>
    <t>Campuchia</t>
  </si>
  <si>
    <t>TỔNG B.1:</t>
  </si>
  <si>
    <t>B.2. Hướng dẫn cho sinh viên Mật mã đối tượng Lào</t>
  </si>
  <si>
    <t>B.4. Hướng dẫn cho sinh viên Mật mã đối tượng Campuchia</t>
  </si>
  <si>
    <t>TỔNG B.3:</t>
  </si>
  <si>
    <t>TỔNG B.4:</t>
  </si>
  <si>
    <t>TỔNG B.5:</t>
  </si>
  <si>
    <t>TỔNG B = B.1 + B.2 + B.3 + B.4 + B.5</t>
  </si>
  <si>
    <t>B.1. Hướng dẫn cho sinh viên Mật mã đối tượng Việt Nam</t>
  </si>
  <si>
    <t>B.3. Hướng dẫn cho sinh viên Mật mã đối tượng Cuba</t>
  </si>
  <si>
    <t>B.5. Hướng dẫn cho sinh viên hệ đóng học phí</t>
  </si>
  <si>
    <r>
      <t xml:space="preserve">Tên chuyên ngành
</t>
    </r>
    <r>
      <rPr>
        <i/>
        <sz val="12"/>
        <color theme="1"/>
        <rFont val="Times New Roman"/>
        <family val="1"/>
        <charset val="163"/>
      </rPr>
      <t>(giảng dạy, coi chấm thi, ĐATN)</t>
    </r>
  </si>
  <si>
    <t>Số tiết thực hiện HK 1 (theo quy chuẩn)</t>
  </si>
  <si>
    <t>Giữa học phần</t>
  </si>
  <si>
    <r>
      <t xml:space="preserve">Đối tượng
</t>
    </r>
    <r>
      <rPr>
        <i/>
        <sz val="8"/>
        <color rgb="FFFF0000"/>
        <rFont val="Times New Roman"/>
        <family val="1"/>
        <charset val="163"/>
      </rPr>
      <t>(Lào, Cuba, Campuchia, Việt Nam, Đóng HP)</t>
    </r>
  </si>
  <si>
    <r>
      <t xml:space="preserve">Học kỳ I - Đào tạo chuyên ngành Kỹ thuật mật mã </t>
    </r>
    <r>
      <rPr>
        <i/>
        <sz val="12"/>
        <color rgb="FFFF0000"/>
        <rFont val="Times New Roman"/>
        <family val="1"/>
        <charset val="163"/>
      </rPr>
      <t>(ghi rõ đối tượng cho từng lớp)</t>
    </r>
  </si>
  <si>
    <r>
      <t xml:space="preserve">Học kỳ I - Đào tạo hệ đóng học phí </t>
    </r>
    <r>
      <rPr>
        <i/>
        <sz val="12"/>
        <color rgb="FFFF0000"/>
        <rFont val="Times New Roman"/>
        <family val="1"/>
        <charset val="163"/>
      </rPr>
      <t>(ghi rõ đối tượng cho từng lớp)</t>
    </r>
  </si>
  <si>
    <r>
      <t xml:space="preserve">Học kỳ II - Đào tạo chuyên ngành Kỹ thuật mật mã </t>
    </r>
    <r>
      <rPr>
        <i/>
        <sz val="12"/>
        <color rgb="FFFF0000"/>
        <rFont val="Times New Roman"/>
        <family val="1"/>
        <charset val="163"/>
      </rPr>
      <t>(ghi rõ đối tượng cho từng lớp)</t>
    </r>
  </si>
  <si>
    <r>
      <t xml:space="preserve">Học kỳ II - Đào tạo hệ đóng học phí </t>
    </r>
    <r>
      <rPr>
        <i/>
        <sz val="12"/>
        <color rgb="FFFF0000"/>
        <rFont val="Times New Roman"/>
        <family val="1"/>
        <charset val="163"/>
      </rPr>
      <t>(ghi rõ đối tượng cho từng lớp)</t>
    </r>
  </si>
  <si>
    <r>
      <t>Học kỳ I - Đào tạo chuyên ngành Kỹ thuật mật mã</t>
    </r>
    <r>
      <rPr>
        <i/>
        <sz val="12"/>
        <color rgb="FFFF0000"/>
        <rFont val="Times New Roman"/>
        <family val="1"/>
        <charset val="163"/>
      </rPr>
      <t xml:space="preserve"> (ghi rõ đối tượng cho từng lớp)</t>
    </r>
  </si>
  <si>
    <t>Học kỳ II - Đào tạo chuyên ngành Kỹ thuật mật mã (ghi rõ đối tượng cho từng lớp)</t>
  </si>
  <si>
    <t>VI</t>
  </si>
  <si>
    <t>Tổng số tiết vượt giờ  (I - II - III + IV)</t>
  </si>
  <si>
    <t>Số tiết chưa hoàn thành NCKH (định mức NCKH: 200 tiết QC)</t>
  </si>
  <si>
    <t>Số tiết được giảm trừ (theo lý do giảm trừ)</t>
  </si>
  <si>
    <r>
      <t xml:space="preserve">A.1.Giảng dạy
</t>
    </r>
    <r>
      <rPr>
        <i/>
        <sz val="12"/>
        <color rgb="FFFF0000"/>
        <rFont val="Times New Roman"/>
        <family val="1"/>
        <charset val="163"/>
      </rPr>
      <t>(Ghi rõ đối tượng giảng dạy, coi chấm chi cho từng lớp:
     - Mật mã: Việt Nam; Lào; Cuba; Campuchia
     - Đóng HP</t>
    </r>
  </si>
  <si>
    <t>Hội nghị Quốc tế</t>
  </si>
  <si>
    <t>Lê Đức Thuận</t>
  </si>
  <si>
    <t>Phạm Văn Hưởng</t>
  </si>
  <si>
    <t>Ngày sinh: 25/05/1987</t>
  </si>
  <si>
    <t>Học hàm/ Học vị: Tiến sĩ</t>
  </si>
  <si>
    <r>
      <t xml:space="preserve">Hệ số lương: </t>
    </r>
    <r>
      <rPr>
        <sz val="12"/>
        <color rgb="FFFF0000"/>
        <rFont val="Times New Roman"/>
        <family val="1"/>
        <charset val="163"/>
      </rPr>
      <t>5.6</t>
    </r>
  </si>
  <si>
    <r>
      <t xml:space="preserve">Thu nhập (lương thực nhận, không tính phụ cấp học hàm, học vị): </t>
    </r>
    <r>
      <rPr>
        <sz val="12"/>
        <color rgb="FFFF0000"/>
        <rFont val="Times New Roman"/>
        <family val="1"/>
      </rPr>
      <t>19,418,443</t>
    </r>
  </si>
  <si>
    <t>Mạng máy tính</t>
  </si>
  <si>
    <t>LT901</t>
  </si>
  <si>
    <t>Nguyễn Tùng Dương</t>
  </si>
  <si>
    <t>Đoàn Minh Phương</t>
  </si>
  <si>
    <t>CT6</t>
  </si>
  <si>
    <t>Bùi Đức Trọng</t>
  </si>
  <si>
    <t>Nguyễn Quang Tùng</t>
  </si>
  <si>
    <t>Nguyễn Thị Hồng Ngân</t>
  </si>
  <si>
    <t>Thân Nhân Chính</t>
  </si>
  <si>
    <t>Đỗ Mạnh Nghĩa</t>
  </si>
  <si>
    <t>Nguyễn Văn Phú Thịnh</t>
  </si>
  <si>
    <t>Đinh Bảo Sơn</t>
  </si>
  <si>
    <t>Phanla Thepphavong</t>
  </si>
  <si>
    <t>CNTT Lào</t>
  </si>
  <si>
    <t>HD Chính</t>
  </si>
  <si>
    <t>Xây dựng hệ thống hỗ trợ quản lý đào tạo tại Học viện Kỹ thuật mật mã (Mã số: 19/2025/CS)</t>
  </si>
  <si>
    <t>Nghiên cứu, thử nghiệm mô hình thư ký ảo sử dụng ASR cho ứng dụng phòng họp trực tuyến  (Mã số: 10/2025/CS)</t>
  </si>
  <si>
    <t>Android Malware Classification Based on Graph Features and Deep Learning Models</t>
  </si>
  <si>
    <t>Tinh chỉnh mô hình nhận dạng tiếng Việt và ứng dụng trong hệ thống phòng họp trực tuyến</t>
  </si>
  <si>
    <t>Developing a Virtual Assistant for Exam Score Retrieval Using a Local LLM</t>
  </si>
  <si>
    <t>Tác giả chính</t>
  </si>
  <si>
    <t>Tác giả chính chịu trách nhiệm</t>
  </si>
  <si>
    <t>YOLO-TrOCR: A Proposed Model for Automated Ballot Counting</t>
  </si>
  <si>
    <t>An Overall Optimization Model Using Metaheuristic Algorithms for the CNN-based IoT Attack Detection Problem</t>
  </si>
  <si>
    <t>Tạp chí</t>
  </si>
  <si>
    <t>Tạp chí Q3</t>
  </si>
  <si>
    <r>
      <t xml:space="preserve">Khối lượng thực hiện nhiệm vụ đào tạo, khoa học và công nghệ năm học </t>
    </r>
    <r>
      <rPr>
        <b/>
        <sz val="12"/>
        <color rgb="FFFF0000"/>
        <rFont val="Times New Roman"/>
        <family val="1"/>
      </rPr>
      <t>2025-2026</t>
    </r>
  </si>
  <si>
    <t>Hà nội, ngày      tháng     năm 2026</t>
  </si>
  <si>
    <t>(Căn cứ theo QĐ 1267/QĐ-HVM ngày 04 tháng 12 năm 2025 về việc ban hành Quy định mức giờ chuẩn giảng dạy và nghiên cứu khoa học đối với nhà giáo và trợ lý nghiên cứu tại Học viện Kỹ thuật mật mã</t>
  </si>
  <si>
    <t>Chấm thi</t>
  </si>
  <si>
    <t>Ra đề thi</t>
  </si>
  <si>
    <t>Trông thi</t>
  </si>
  <si>
    <t>Trông, chấm, ra đề thi</t>
  </si>
  <si>
    <t>A.2. Đánh giá kết thúc học phần (theo tổng hợp của phòng Khảo thí và đảm bảo chất lượng)</t>
  </si>
  <si>
    <t>TỔNG A = A.1 + A.2</t>
  </si>
  <si>
    <t>B. HƯỚNG DẪN LUẬN ÁN, LUẬN VĂN, ĐỒ ÁN TỐT NGHIỆP</t>
  </si>
  <si>
    <t>C. HƯỚNG DẪN THAM QUAN THỰC TẾ CỦA HỌC VIÊN, SINH VIÊN</t>
  </si>
  <si>
    <t>C.1. Hướng dẫn cho sinh viên Mật mã đối tượng Việt Nam</t>
  </si>
  <si>
    <t>Mô tả hoạt động</t>
  </si>
  <si>
    <t>TỔNG C.1:</t>
  </si>
  <si>
    <t>Theo QĐ</t>
  </si>
  <si>
    <t>Số ngày</t>
  </si>
  <si>
    <t>C.2. Hướng dẫn cho sinh viên Mật mã đối tượng Lào</t>
  </si>
  <si>
    <t>TỔNG C.2:</t>
  </si>
  <si>
    <t>TỔNG C.3:</t>
  </si>
  <si>
    <t>TỔNG C.4:</t>
  </si>
  <si>
    <t>TỔNG C.5:</t>
  </si>
  <si>
    <t>TỔNG C = C.1 + C.2 + C.3 + C.4 + C.5</t>
  </si>
  <si>
    <t>TỔNG A + B+C:</t>
  </si>
  <si>
    <t>D. NGHIÊN CỨU KHOA HỌC</t>
  </si>
  <si>
    <t>Tổng D.1:</t>
  </si>
  <si>
    <t>Tổng D.2:</t>
  </si>
  <si>
    <t>Tổng D.3:</t>
  </si>
  <si>
    <t>Tổng D.4:</t>
  </si>
  <si>
    <t>Tổng D.5:</t>
  </si>
  <si>
    <t>Tổng D.6:</t>
  </si>
  <si>
    <t>Tổng D.7:</t>
  </si>
  <si>
    <t>Tổng D.8:</t>
  </si>
  <si>
    <t>D.9 Các nhiệm vụ khoa học và công nghệ khác</t>
  </si>
  <si>
    <t>Tổng D.9:</t>
  </si>
  <si>
    <t>D.1 Đề tài, dự án</t>
  </si>
  <si>
    <t>Cấp Cơ sở do LĐ Ban CY phê duyệt</t>
  </si>
  <si>
    <t>D.2 Sáng kiến</t>
  </si>
  <si>
    <t>Cấp đề tài (Quốc gia, nghị định thư; Ban, bộ; Cơ sở do lãnh đạo Ban CY phê duyệt, cơ sở do giám đốc HV phê duyệt)</t>
  </si>
  <si>
    <t>Sáng kiến (cấp Quốc gia; cấp Ban, Bộ; lãnh đạo Ban CY phê duyệt, giám đốc HV phê duyệt)</t>
  </si>
  <si>
    <t>Tên sáng kiến (mã số sáng kiến nếu có)</t>
  </si>
  <si>
    <t>Tên đề tài, dự án (mã số đề tài, dự án)</t>
  </si>
  <si>
    <t>Chủ trì/ thành viên</t>
  </si>
  <si>
    <t>D.3 Giải thưởng khoa học và công nghệ; Bằng sáng chế, giải pháp hữu ích</t>
  </si>
  <si>
    <t>D.4 Đề xuất nghiên cứu (theo đúng mẫu đề xuất quy định)</t>
  </si>
  <si>
    <t>Tên đề xuất (mã số nếu có)</t>
  </si>
  <si>
    <t>Tên giải pháp khoa học, giải thưởng; Bằng sáng chế</t>
  </si>
  <si>
    <t>Cấp quốc gia, quốc tế; cấp Bộ và tương đương; cấp cơ sở</t>
  </si>
  <si>
    <t>D.5 Sách, giáo trình, tài liệu dạy học, tài liệu huấn luyện, điều lệ, điều lệnh</t>
  </si>
  <si>
    <t>D.6 Bài báo, báo cáo khoa học</t>
  </si>
  <si>
    <t>D.7 Hướng dẫn học viên, sinh viên NCKH do GĐ Học viện phê duyệt</t>
  </si>
  <si>
    <t>D.8 Thành viên hội đồng khoa học các cấp</t>
  </si>
  <si>
    <t>Tên hội đồng khoa học</t>
  </si>
  <si>
    <t>Chức danh (chủ tịch, phản biện, ủy viên)</t>
  </si>
  <si>
    <t>Hội đồng cấp (chương trình KHCN, đề án, dự án KHCN các cấp; xét duyệt nghiệm thu đề tài, sáng kiến do LĐ Ban CY duyệt; nghiệm thu 01 đề tài, sáng kiến, giáo trình, tài liệu dạy học do LĐ Học viện duyệt; xét duyệt 01 đề cương đề tài, sáng kiến, giáo trình, tài liệu dạy học do LĐ Học viện duyệt)</t>
  </si>
  <si>
    <t>Tổng D = D.1+D.2+D.3+D.4+D.5+D.6+D.7 + D.8 + D.9</t>
  </si>
  <si>
    <t>Tổng số tiết thực hiện (A + B+C)</t>
  </si>
  <si>
    <t>Số tiết định mức phải giảng (280 tiết)</t>
  </si>
  <si>
    <t>Hướng dẫn ĐATN</t>
  </si>
  <si>
    <t>Tham quan tực tế</t>
  </si>
  <si>
    <t>F. TỔNG SỐ TIẾT THỐNG KÊ THEO TỪNG HỆ ĐÀO TẠO</t>
  </si>
  <si>
    <t>Tổng số tiết cả năm</t>
  </si>
  <si>
    <t>E. TỔNG HỢP KHỐI LƯỢNG ĐÃ THỰC HIỆN VÀ ĐỀ NGHỊ THANH TOÁN VƯỢT GIỜ</t>
  </si>
  <si>
    <t>C.3. Hướng dẫn cho sinh viên Mật mã đối tượng Cuba</t>
  </si>
  <si>
    <t>C.4. Hướng dẫn cho sinh viên Mật mã đối tượng Campuchia</t>
  </si>
  <si>
    <t>C.5. Hướng dẫn cho sinh viên Mật mã đối tượng Đóng học phí</t>
  </si>
  <si>
    <t>Nghiên cứu, xây dựng hệ thống Chatbox ứng dụng mô hình RAG và LLMs</t>
  </si>
  <si>
    <t>Nghiên cứu kỹ thuật tóm tắt văn bản, ứng trong hệ thống thư ký ảo trực tuyến</t>
  </si>
  <si>
    <t>Nghiên cứu, xây dựng ứng dụng kiểm đếm phiếu bầu tự động sử dụng mô hình Deeplearning và Transformer</t>
  </si>
  <si>
    <t>Số tiết thực hiện HK 2 (theo quy chuẩn)</t>
  </si>
  <si>
    <t>Tổng số tiết vượt giờ đề nghị thanh toán (Là số tiết định mức trừ đi số tiết được giảm trừ)</t>
  </si>
  <si>
    <t>Họ và tên:  {hoVaTen}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</si>
</sst>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7"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i/>
      <sz val="12"/>
      <color theme="1"/>
      <name val="Times New Roman"/>
      <family val="1"/>
    </font>
    <font>
      <b/>
      <u/>
      <sz val="12"/>
      <color theme="1"/>
      <name val="Times New Roman"/>
      <family val="1"/>
    </font>
    <font>
      <b/>
      <sz val="14"/>
      <color theme="1"/>
      <name val="Times New Roman"/>
      <family val="1"/>
    </font>
    <font>
      <sz val="12"/>
      <color rgb="FF0000FF"/>
      <name val="Times New Roman"/>
      <family val="1"/>
    </font>
    <font>
      <b/>
      <sz val="12"/>
      <color rgb="FF0000FF"/>
      <name val="Times New Roman"/>
      <family val="1"/>
    </font>
    <font>
      <b/>
      <u/>
      <sz val="12"/>
      <color rgb="FF0000FF"/>
      <name val="Times New Roman"/>
      <family val="1"/>
    </font>
    <font>
      <sz val="11"/>
      <color rgb="FF0000FF"/>
      <name val="Times New Roman"/>
      <family val="1"/>
    </font>
    <font>
      <sz val="10"/>
      <color theme="1"/>
      <name val="Times New Roman"/>
      <family val="1"/>
    </font>
    <font>
      <sz val="11"/>
      <color theme="1"/>
      <name val="Times New Roman"/>
      <family val="1"/>
    </font>
    <font>
      <sz val="8"/>
      <name val="Calibri"/>
      <family val="2"/>
      <scheme val="minor"/>
    </font>
    <font>
      <sz val="12"/>
      <color rgb="FFFF0000"/>
      <name val="Times New Roman"/>
      <family val="1"/>
    </font>
    <font>
      <b/>
      <sz val="12"/>
      <color rgb="FFFF0000"/>
      <name val="Times New Roman"/>
      <family val="1"/>
    </font>
    <font>
      <sz val="12"/>
      <color theme="1"/>
      <name val="Times New Roman"/>
      <family val="1"/>
      <charset val="163"/>
    </font>
    <font>
      <b/>
      <sz val="12"/>
      <color theme="1"/>
      <name val="Times New Roman"/>
      <family val="1"/>
      <charset val="163"/>
    </font>
    <font>
      <sz val="12"/>
      <color rgb="FFFF0000"/>
      <name val="Times New Roman"/>
      <family val="1"/>
      <charset val="163"/>
    </font>
    <font>
      <i/>
      <sz val="12"/>
      <color theme="1"/>
      <name val="Times New Roman"/>
      <family val="1"/>
      <charset val="163"/>
    </font>
    <font>
      <i/>
      <sz val="12"/>
      <color rgb="FFFF0000"/>
      <name val="Times New Roman"/>
      <family val="1"/>
    </font>
    <font>
      <i/>
      <sz val="12"/>
      <color rgb="FFFF0000"/>
      <name val="Times New Roman"/>
      <family val="1"/>
      <charset val="163"/>
    </font>
    <font>
      <b/>
      <sz val="13"/>
      <color theme="1"/>
      <name val="Calibri Light"/>
      <family val="1"/>
      <charset val="163"/>
      <scheme val="major"/>
    </font>
    <font>
      <sz val="13"/>
      <color theme="1"/>
      <name val="Calibri Light"/>
      <family val="1"/>
      <charset val="163"/>
      <scheme val="major"/>
    </font>
    <font>
      <i/>
      <sz val="8"/>
      <color rgb="FFFF0000"/>
      <name val="Times New Roman"/>
      <family val="1"/>
      <charset val="163"/>
    </font>
    <font>
      <b/>
      <sz val="10"/>
      <color theme="1"/>
      <name val="Times New Roman"/>
      <family val="1"/>
      <charset val="163"/>
    </font>
    <font>
      <b/>
      <sz val="13"/>
      <color rgb="FFFF0000"/>
      <name val="Times New Roman"/>
      <family val="1"/>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42">
    <xf numFmtId="0" fontId="0" fillId="0" borderId="0" xfId="0"/>
    <xf numFmtId="0" fontId="22" fillId="0" borderId="0" xfId="0" applyFont="1"/>
    <xf numFmtId="0" fontId="23" fillId="0" borderId="0" xfId="0" applyFont="1"/>
    <xf numFmtId="0" fontId="1" fillId="0" borderId="0" xfId="0" applyFont="1"/>
    <xf numFmtId="0" fontId="6" fillId="0" borderId="0" xfId="0" applyFont="1"/>
    <xf numFmtId="0" fontId="1" fillId="0" borderId="0" xfId="0" applyFont="1" applyAlignment="1">
      <alignment horizontal="left"/>
    </xf>
    <xf numFmtId="0" fontId="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wrapText="1"/>
    </xf>
    <xf numFmtId="0" fontId="14" fillId="0" borderId="1" xfId="0" applyFont="1" applyBorder="1" applyAlignment="1">
      <alignment horizontal="center" vertical="center"/>
    </xf>
    <xf numFmtId="2" fontId="8" fillId="0" borderId="1" xfId="0" applyNumberFormat="1" applyFont="1" applyBorder="1" applyAlignment="1">
      <alignment horizontal="center" vertical="center"/>
    </xf>
    <xf numFmtId="0" fontId="1" fillId="0" borderId="1" xfId="0" applyFont="1" applyBorder="1"/>
    <xf numFmtId="0" fontId="1" fillId="0" borderId="0" xfId="0" applyFont="1" applyAlignment="1">
      <alignment vertical="center"/>
    </xf>
    <xf numFmtId="0" fontId="8" fillId="0" borderId="1" xfId="0" applyFont="1" applyBorder="1" applyAlignment="1">
      <alignment horizontal="center"/>
    </xf>
    <xf numFmtId="0" fontId="7" fillId="0" borderId="1" xfId="0" applyFont="1" applyBorder="1" applyAlignment="1">
      <alignment horizontal="left" vertical="center" wrapText="1"/>
    </xf>
    <xf numFmtId="2" fontId="8" fillId="0" borderId="1" xfId="0" applyNumberFormat="1" applyFont="1" applyBorder="1" applyAlignment="1">
      <alignment horizontal="center"/>
    </xf>
    <xf numFmtId="0" fontId="2" fillId="0" borderId="4" xfId="0" applyFont="1" applyBorder="1"/>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7" fillId="0" borderId="1" xfId="0" applyFont="1" applyBorder="1" applyAlignment="1">
      <alignment horizontal="center" vertical="center" wrapText="1"/>
    </xf>
    <xf numFmtId="14" fontId="10" fillId="0" borderId="1" xfId="0" quotePrefix="1" applyNumberFormat="1" applyFont="1" applyBorder="1" applyAlignment="1">
      <alignment horizontal="center" vertical="center"/>
    </xf>
    <xf numFmtId="0" fontId="8" fillId="0" borderId="1" xfId="0" applyFont="1" applyBorder="1" applyAlignment="1">
      <alignment horizontal="center" vertical="center"/>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 fillId="0" borderId="1" xfId="0" applyFont="1" applyBorder="1" applyAlignment="1">
      <alignment vertical="center" wrapText="1"/>
    </xf>
    <xf numFmtId="14" fontId="7"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0" fillId="0" borderId="1" xfId="0" applyFont="1" applyBorder="1" applyAlignment="1">
      <alignment vertical="center" wrapText="1"/>
    </xf>
    <xf numFmtId="0" fontId="7" fillId="0" borderId="1" xfId="0" quotePrefix="1" applyFont="1" applyBorder="1" applyAlignment="1">
      <alignment horizontal="center" vertical="center"/>
    </xf>
    <xf numFmtId="0" fontId="7" fillId="0" borderId="1" xfId="0" applyFont="1" applyBorder="1"/>
    <xf numFmtId="0" fontId="7" fillId="0" borderId="2" xfId="0" quotePrefix="1" applyFont="1" applyBorder="1" applyAlignment="1">
      <alignment horizontal="center" vertical="center"/>
    </xf>
    <xf numFmtId="0" fontId="7" fillId="0" borderId="4" xfId="0" quotePrefix="1" applyFont="1" applyBorder="1" applyAlignment="1">
      <alignment horizontal="center" vertical="center"/>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8" fillId="0" borderId="0" xfId="0" applyFont="1" applyAlignment="1">
      <alignment horizontal="center" vertical="center"/>
    </xf>
    <xf numFmtId="0" fontId="17" fillId="0" borderId="2" xfId="0" applyFont="1" applyBorder="1" applyAlignment="1">
      <alignment horizontal="center"/>
    </xf>
    <xf numFmtId="0" fontId="17" fillId="0" borderId="3" xfId="0" applyFont="1" applyBorder="1" applyAlignment="1">
      <alignment horizont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2" fontId="15" fillId="0" borderId="1" xfId="0" applyNumberFormat="1" applyFont="1" applyBorder="1" applyAlignment="1">
      <alignment horizontal="center" vertical="center"/>
    </xf>
    <xf numFmtId="0" fontId="1" fillId="0" borderId="0" xfId="0" applyFont="1" applyAlignment="1">
      <alignment horizontal="left" wrapText="1"/>
    </xf>
    <xf numFmtId="2" fontId="15" fillId="0" borderId="0" xfId="0" applyNumberFormat="1" applyFont="1" applyAlignment="1">
      <alignment horizontal="center" vertical="center"/>
    </xf>
    <xf numFmtId="0" fontId="7" fillId="0" borderId="0" xfId="0" applyFont="1" applyAlignment="1">
      <alignment horizontal="center" vertical="center" wrapText="1"/>
    </xf>
    <xf numFmtId="0" fontId="2" fillId="0" borderId="0" xfId="0" applyFont="1" applyAlignment="1">
      <alignment horizontal="left"/>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left" vertical="center"/>
    </xf>
    <xf numFmtId="2" fontId="16" fillId="0" borderId="1" xfId="0" applyNumberFormat="1" applyFont="1" applyBorder="1" applyAlignment="1">
      <alignment horizontal="center" vertical="center"/>
    </xf>
    <xf numFmtId="2" fontId="17" fillId="0" borderId="1" xfId="0" applyNumberFormat="1" applyFont="1" applyBorder="1" applyAlignment="1">
      <alignment horizontal="center" vertical="center"/>
    </xf>
    <xf numFmtId="0" fontId="16" fillId="0" borderId="1" xfId="0" applyFont="1" applyBorder="1" applyAlignment="1">
      <alignment horizontal="left" vertical="center" wrapText="1"/>
    </xf>
    <xf numFmtId="164" fontId="1" fillId="0" borderId="0" xfId="0" applyNumberFormat="1" applyFont="1"/>
    <xf numFmtId="2" fontId="15" fillId="0" borderId="4" xfId="0" applyNumberFormat="1" applyFont="1" applyBorder="1" applyAlignment="1">
      <alignment horizontal="center" vertical="center"/>
    </xf>
    <xf numFmtId="2" fontId="26" fillId="0" borderId="1" xfId="0" applyNumberFormat="1" applyFont="1" applyBorder="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17" fillId="0" borderId="1" xfId="0" applyFont="1" applyBorder="1" applyAlignment="1">
      <alignment horizontal="center"/>
    </xf>
    <xf numFmtId="0" fontId="15" fillId="0" borderId="1" xfId="0" applyFont="1" applyBorder="1" applyAlignment="1">
      <alignment horizontal="center" vertical="center"/>
    </xf>
    <xf numFmtId="0" fontId="17" fillId="0" borderId="2" xfId="0" applyFont="1" applyBorder="1" applyAlignment="1">
      <alignment horizontal="center"/>
    </xf>
    <xf numFmtId="0" fontId="17" fillId="0" borderId="4" xfId="0" applyFont="1"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7" fillId="0" borderId="2" xfId="0" applyFont="1" applyBorder="1" applyAlignment="1">
      <alignment horizontal="left" wrapText="1"/>
    </xf>
    <xf numFmtId="0" fontId="17" fillId="0" borderId="3" xfId="0" applyFont="1" applyBorder="1" applyAlignment="1">
      <alignment horizontal="left" wrapText="1"/>
    </xf>
    <xf numFmtId="0" fontId="17" fillId="0" borderId="4" xfId="0" applyFont="1" applyBorder="1" applyAlignment="1">
      <alignment horizontal="left" wrapText="1"/>
    </xf>
    <xf numFmtId="0" fontId="2" fillId="0" borderId="0" xfId="0" applyFont="1" applyAlignment="1">
      <alignment horizontal="left"/>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2" fillId="0" borderId="3" xfId="0" applyFont="1" applyBorder="1" applyAlignment="1">
      <alignment horizontal="left" vertical="center" wrapText="1"/>
    </xf>
    <xf numFmtId="0" fontId="20" fillId="0" borderId="2" xfId="0" applyFont="1" applyBorder="1" applyAlignment="1">
      <alignment horizontal="left" wrapText="1"/>
    </xf>
    <xf numFmtId="0" fontId="20" fillId="0" borderId="3" xfId="0" applyFont="1" applyBorder="1" applyAlignment="1">
      <alignment horizontal="left" wrapText="1"/>
    </xf>
    <xf numFmtId="0" fontId="20" fillId="0" borderId="4" xfId="0" applyFont="1" applyBorder="1" applyAlignment="1">
      <alignment horizontal="left"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7" fillId="0" borderId="2" xfId="0" quotePrefix="1" applyFont="1" applyBorder="1" applyAlignment="1">
      <alignment horizontal="center" vertical="center"/>
    </xf>
    <xf numFmtId="0" fontId="7" fillId="0" borderId="4" xfId="0" quotePrefix="1" applyFont="1" applyBorder="1" applyAlignment="1">
      <alignment horizontal="center"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20" fillId="0" borderId="4" xfId="0" applyFont="1" applyBorder="1" applyAlignment="1">
      <alignment horizontal="left" vertical="center"/>
    </xf>
    <xf numFmtId="0" fontId="16" fillId="0" borderId="2" xfId="0" applyFont="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0" fillId="0" borderId="2" xfId="0" applyFont="1" applyBorder="1" applyAlignment="1">
      <alignment horizontal="left"/>
    </xf>
    <xf numFmtId="0" fontId="20" fillId="0" borderId="3" xfId="0" applyFont="1" applyBorder="1" applyAlignment="1">
      <alignment horizontal="left"/>
    </xf>
    <xf numFmtId="0" fontId="20" fillId="0" borderId="4" xfId="0" applyFont="1" applyBorder="1" applyAlignment="1">
      <alignment horizontal="left"/>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3" fillId="0" borderId="1" xfId="0" applyFont="1" applyBorder="1" applyAlignment="1">
      <alignment horizontal="left"/>
    </xf>
    <xf numFmtId="0" fontId="1" fillId="0" borderId="1" xfId="0" applyFont="1" applyBorder="1" applyAlignment="1">
      <alignment horizontal="center"/>
    </xf>
    <xf numFmtId="0" fontId="20" fillId="0" borderId="0" xfId="0" applyFont="1" applyAlignment="1">
      <alignment horizontal="center" wrapText="1"/>
    </xf>
    <xf numFmtId="0" fontId="1" fillId="0" borderId="0" xfId="0" applyFont="1" applyAlignment="1">
      <alignment horizontal="left"/>
    </xf>
    <xf numFmtId="0" fontId="17" fillId="0" borderId="0" xfId="0" applyFont="1" applyAlignment="1">
      <alignment horizontal="center"/>
    </xf>
    <xf numFmtId="0" fontId="5"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6" fillId="0" borderId="0" xfId="0" applyFont="1" applyAlignment="1">
      <alignment horizontal="center"/>
    </xf>
    <xf numFmtId="0" fontId="4" fillId="0" borderId="1" xfId="0" applyFont="1" applyBorder="1" applyAlignment="1">
      <alignment horizontal="left" wrapText="1"/>
    </xf>
    <xf numFmtId="0" fontId="4" fillId="0" borderId="1" xfId="0" applyFont="1" applyBorder="1" applyAlignment="1">
      <alignment horizontal="left"/>
    </xf>
    <xf numFmtId="0" fontId="2" fillId="0" borderId="1" xfId="0" applyFont="1" applyBorder="1" applyAlignment="1">
      <alignment horizontal="left"/>
    </xf>
    <xf numFmtId="16" fontId="1" fillId="0" borderId="0" xfId="0" applyNumberFormat="1" applyFon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770282</xdr:colOff>
      <xdr:row>2</xdr:row>
      <xdr:rowOff>41413</xdr:rowOff>
    </xdr:from>
    <xdr:to>
      <xdr:col>1</xdr:col>
      <xdr:colOff>1457739</xdr:colOff>
      <xdr:row>2</xdr:row>
      <xdr:rowOff>41413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076739" y="472109"/>
          <a:ext cx="68745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596348</xdr:colOff>
      <xdr:row>2</xdr:row>
      <xdr:rowOff>16564</xdr:rowOff>
    </xdr:from>
    <xdr:to>
      <xdr:col>6</xdr:col>
      <xdr:colOff>107673</xdr:colOff>
      <xdr:row>2</xdr:row>
      <xdr:rowOff>16564</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3553239" y="447260"/>
          <a:ext cx="185530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97"/>
  <sheetViews>
    <sheetView tabSelected="1" topLeftCell="A166" zoomScale="150" zoomScaleNormal="150" workbookViewId="0">
      <selection activeCell="I183" sqref="I183"/>
    </sheetView>
  </sheetViews>
  <sheetFormatPr defaultColWidth="8.6640625" defaultRowHeight="15.4" x14ac:dyDescent="0.45"/>
  <cols>
    <col min="1" max="1" width="4.59765625" style="3" customWidth="1"/>
    <col min="2" max="2" width="25.3984375" style="3" customWidth="1"/>
    <col min="3" max="3" width="14.265625" style="3" customWidth="1"/>
    <col min="4" max="4" width="15.06640625" style="3" customWidth="1"/>
    <col min="5" max="5" width="10.265625" style="3" customWidth="1"/>
    <col min="6" max="6" width="9.6640625" style="3" customWidth="1"/>
    <col min="7" max="7" width="10.3984375" style="3" customWidth="1"/>
    <col min="8" max="8" width="8.6640625" style="3"/>
    <col min="9" max="9" width="10" style="3" bestFit="1" customWidth="1"/>
    <col min="10" max="16384" width="8.6640625" style="3"/>
  </cols>
  <sheetData>
    <row r="1" spans="1:8" ht="18" customHeight="1" x14ac:dyDescent="0.45">
      <c r="A1" s="59" t="s">
        <v>51</v>
      </c>
      <c r="B1" s="59"/>
      <c r="C1" s="59"/>
      <c r="D1" s="135" t="s">
        <v>52</v>
      </c>
      <c r="E1" s="135"/>
      <c r="F1" s="135"/>
      <c r="G1" s="135"/>
    </row>
    <row r="2" spans="1:8" ht="16.25" customHeight="1" x14ac:dyDescent="0.45">
      <c r="A2" s="133" t="s">
        <v>61</v>
      </c>
      <c r="B2" s="133"/>
      <c r="C2" s="133"/>
      <c r="D2" s="59" t="s">
        <v>53</v>
      </c>
      <c r="E2" s="134"/>
      <c r="F2" s="134"/>
      <c r="G2" s="134"/>
    </row>
    <row r="3" spans="1:8" ht="18" customHeight="1" x14ac:dyDescent="0.45">
      <c r="A3" s="134"/>
      <c r="B3" s="134"/>
      <c r="C3" s="134"/>
      <c r="D3" s="136" t="s">
        <v>138</v>
      </c>
      <c r="E3" s="136"/>
      <c r="F3" s="136"/>
      <c r="G3" s="136"/>
    </row>
    <row r="5" spans="1:8" ht="17.25" x14ac:dyDescent="0.45">
      <c r="A5" s="137" t="s">
        <v>54</v>
      </c>
      <c r="B5" s="137"/>
      <c r="C5" s="137"/>
      <c r="D5" s="137"/>
      <c r="E5" s="137"/>
      <c r="F5" s="137"/>
      <c r="G5" s="137"/>
      <c r="H5" s="4"/>
    </row>
    <row r="6" spans="1:8" x14ac:dyDescent="0.45">
      <c r="A6" s="59" t="s">
        <v>137</v>
      </c>
      <c r="B6" s="59"/>
      <c r="C6" s="59"/>
      <c r="D6" s="59"/>
      <c r="E6" s="59"/>
      <c r="F6" s="59"/>
      <c r="G6" s="59"/>
    </row>
    <row r="7" spans="1:8" ht="47.75" customHeight="1" x14ac:dyDescent="0.45">
      <c r="A7" s="131" t="s">
        <v>139</v>
      </c>
      <c r="B7" s="131"/>
      <c r="C7" s="131"/>
      <c r="D7" s="131"/>
      <c r="E7" s="131"/>
      <c r="F7" s="131"/>
      <c r="G7" s="131"/>
    </row>
    <row r="9" spans="1:8" x14ac:dyDescent="0.45">
      <c r="A9" s="132" t="s">
        <v>207</v>
      </c>
      <c r="B9" s="132"/>
      <c r="C9" s="132"/>
      <c r="D9" s="132" t="s">
        <v>107</v>
      </c>
      <c r="E9" s="132"/>
      <c r="F9" s="132"/>
    </row>
    <row r="10" spans="1:8" x14ac:dyDescent="0.45">
      <c r="A10" s="132" t="s">
        <v>108</v>
      </c>
      <c r="B10" s="132"/>
      <c r="C10" s="132"/>
    </row>
    <row r="11" spans="1:8" x14ac:dyDescent="0.45">
      <c r="A11" s="132" t="s">
        <v>77</v>
      </c>
      <c r="B11" s="132"/>
      <c r="C11" s="132"/>
      <c r="D11" s="132"/>
      <c r="E11" s="132"/>
    </row>
    <row r="12" spans="1:8" x14ac:dyDescent="0.45">
      <c r="A12" s="132" t="s">
        <v>109</v>
      </c>
      <c r="B12" s="132"/>
      <c r="C12" s="132"/>
      <c r="D12" s="132"/>
    </row>
    <row r="13" spans="1:8" x14ac:dyDescent="0.45">
      <c r="A13" s="132" t="s">
        <v>110</v>
      </c>
      <c r="B13" s="132"/>
      <c r="C13" s="132"/>
      <c r="D13" s="132"/>
      <c r="E13" s="132"/>
      <c r="F13" s="132"/>
      <c r="G13" s="132"/>
    </row>
    <row r="15" spans="1:8" x14ac:dyDescent="0.45">
      <c r="A15" s="140" t="s">
        <v>6</v>
      </c>
      <c r="B15" s="140"/>
      <c r="C15" s="140"/>
      <c r="D15" s="140"/>
      <c r="E15" s="140"/>
      <c r="F15" s="140"/>
      <c r="G15" s="140"/>
    </row>
    <row r="16" spans="1:8" ht="65.45" customHeight="1" x14ac:dyDescent="0.45">
      <c r="A16" s="138" t="s">
        <v>103</v>
      </c>
      <c r="B16" s="139"/>
      <c r="C16" s="139"/>
      <c r="D16" s="139"/>
      <c r="E16" s="139"/>
      <c r="F16" s="139"/>
      <c r="G16" s="139"/>
    </row>
    <row r="17" spans="1:12" ht="48" customHeight="1" x14ac:dyDescent="0.45">
      <c r="A17" s="6" t="s">
        <v>0</v>
      </c>
      <c r="B17" s="6" t="s">
        <v>1</v>
      </c>
      <c r="C17" s="6" t="s">
        <v>2</v>
      </c>
      <c r="D17" s="6" t="s">
        <v>3</v>
      </c>
      <c r="E17" s="7" t="s">
        <v>92</v>
      </c>
      <c r="F17" s="6" t="s">
        <v>55</v>
      </c>
      <c r="G17" s="6" t="s">
        <v>5</v>
      </c>
      <c r="L17" s="141"/>
    </row>
    <row r="18" spans="1:12" x14ac:dyDescent="0.45">
      <c r="A18" s="129" t="s">
        <v>93</v>
      </c>
      <c r="B18" s="129"/>
      <c r="C18" s="129"/>
      <c r="D18" s="129"/>
      <c r="E18" s="129"/>
      <c r="F18" s="129"/>
      <c r="G18" s="129"/>
      <c r="L18" s="141"/>
    </row>
    <row r="19" spans="1:12" x14ac:dyDescent="0.45">
      <c r="A19" s="8">
        <v>1</v>
      </c>
      <c r="B19" s="9" t="s">
        <v>111</v>
      </c>
      <c r="C19" s="8">
        <v>2</v>
      </c>
      <c r="D19" s="8" t="s">
        <v>112</v>
      </c>
      <c r="E19" s="10" t="s">
        <v>58</v>
      </c>
      <c r="F19" s="8">
        <v>60</v>
      </c>
      <c r="G19" s="8">
        <v>60</v>
      </c>
    </row>
    <row r="20" spans="1:12" x14ac:dyDescent="0.45">
      <c r="A20" s="8"/>
      <c r="B20" s="9"/>
      <c r="C20" s="8"/>
      <c r="D20" s="8"/>
      <c r="E20" s="10"/>
      <c r="F20" s="8"/>
      <c r="G20" s="8"/>
    </row>
    <row r="21" spans="1:12" x14ac:dyDescent="0.45">
      <c r="A21" s="8"/>
      <c r="B21" s="9"/>
      <c r="C21" s="8"/>
      <c r="D21" s="8"/>
      <c r="E21" s="10"/>
      <c r="F21" s="8"/>
      <c r="G21" s="8"/>
    </row>
    <row r="22" spans="1:12" x14ac:dyDescent="0.45">
      <c r="A22" s="130" t="s">
        <v>7</v>
      </c>
      <c r="B22" s="130"/>
      <c r="C22" s="130"/>
      <c r="D22" s="130"/>
      <c r="E22" s="130"/>
      <c r="F22" s="11">
        <f>TRUNC(SUM(F19:F21),2)</f>
        <v>60</v>
      </c>
      <c r="G22" s="11">
        <f>TRUNC(SUM(G19:G21),2)</f>
        <v>60</v>
      </c>
    </row>
    <row r="23" spans="1:12" x14ac:dyDescent="0.45">
      <c r="A23" s="129" t="s">
        <v>94</v>
      </c>
      <c r="B23" s="129"/>
      <c r="C23" s="129"/>
      <c r="D23" s="129"/>
      <c r="E23" s="129"/>
      <c r="F23" s="129"/>
      <c r="G23" s="129"/>
    </row>
    <row r="24" spans="1:12" x14ac:dyDescent="0.45">
      <c r="A24" s="8">
        <v>1</v>
      </c>
      <c r="B24" s="9"/>
      <c r="C24" s="8"/>
      <c r="D24" s="8"/>
      <c r="E24" s="10"/>
      <c r="F24" s="8"/>
      <c r="G24" s="8"/>
    </row>
    <row r="25" spans="1:12" x14ac:dyDescent="0.45">
      <c r="A25" s="8">
        <v>2</v>
      </c>
      <c r="B25" s="9"/>
      <c r="C25" s="8"/>
      <c r="D25" s="8"/>
      <c r="E25" s="10"/>
      <c r="F25" s="8"/>
      <c r="G25" s="8"/>
    </row>
    <row r="26" spans="1:12" x14ac:dyDescent="0.45">
      <c r="A26" s="107" t="s">
        <v>8</v>
      </c>
      <c r="B26" s="108"/>
      <c r="C26" s="108"/>
      <c r="D26" s="108"/>
      <c r="E26" s="109"/>
      <c r="F26" s="11">
        <f>TRUNC(SUM(F24:F25),2)</f>
        <v>0</v>
      </c>
      <c r="G26" s="11">
        <f>TRUNC(SUM(G24:G25),2)</f>
        <v>0</v>
      </c>
    </row>
    <row r="27" spans="1:12" x14ac:dyDescent="0.45">
      <c r="A27" s="12"/>
      <c r="B27" s="12"/>
      <c r="C27" s="12"/>
      <c r="D27" s="12"/>
      <c r="E27" s="12"/>
      <c r="F27" s="12"/>
      <c r="G27" s="12"/>
    </row>
    <row r="28" spans="1:12" x14ac:dyDescent="0.45">
      <c r="A28" s="129" t="s">
        <v>98</v>
      </c>
      <c r="B28" s="129"/>
      <c r="C28" s="129"/>
      <c r="D28" s="129"/>
      <c r="E28" s="129"/>
      <c r="F28" s="129"/>
      <c r="G28" s="129"/>
    </row>
    <row r="29" spans="1:12" x14ac:dyDescent="0.45">
      <c r="A29" s="8">
        <v>1</v>
      </c>
      <c r="B29" s="9"/>
      <c r="C29" s="8"/>
      <c r="D29" s="8"/>
      <c r="E29" s="10"/>
      <c r="F29" s="8"/>
      <c r="G29" s="8"/>
    </row>
    <row r="30" spans="1:12" x14ac:dyDescent="0.45">
      <c r="A30" s="8">
        <v>2</v>
      </c>
      <c r="B30" s="9"/>
      <c r="C30" s="8"/>
      <c r="D30" s="8"/>
      <c r="E30" s="10"/>
      <c r="F30" s="8"/>
      <c r="G30" s="8"/>
    </row>
    <row r="31" spans="1:12" x14ac:dyDescent="0.45">
      <c r="A31" s="8">
        <v>3</v>
      </c>
      <c r="B31" s="9"/>
      <c r="C31" s="8"/>
      <c r="D31" s="8"/>
      <c r="E31" s="10"/>
      <c r="F31" s="8"/>
      <c r="G31" s="8"/>
    </row>
    <row r="32" spans="1:12" x14ac:dyDescent="0.45">
      <c r="A32" s="130" t="s">
        <v>9</v>
      </c>
      <c r="B32" s="130"/>
      <c r="C32" s="130"/>
      <c r="D32" s="130"/>
      <c r="E32" s="130"/>
      <c r="F32" s="11">
        <f>TRUNC(SUM(F29:F31),2)</f>
        <v>0</v>
      </c>
      <c r="G32" s="11">
        <f>TRUNC(SUM(G29:G31),2)</f>
        <v>0</v>
      </c>
    </row>
    <row r="33" spans="1:7" x14ac:dyDescent="0.45">
      <c r="A33" s="129" t="s">
        <v>96</v>
      </c>
      <c r="B33" s="129"/>
      <c r="C33" s="129"/>
      <c r="D33" s="129"/>
      <c r="E33" s="129"/>
      <c r="F33" s="129"/>
      <c r="G33" s="129"/>
    </row>
    <row r="34" spans="1:7" x14ac:dyDescent="0.45">
      <c r="A34" s="8">
        <v>1</v>
      </c>
      <c r="B34" s="9"/>
      <c r="C34" s="8"/>
      <c r="D34" s="8"/>
      <c r="E34" s="10"/>
      <c r="F34" s="8"/>
      <c r="G34" s="8"/>
    </row>
    <row r="35" spans="1:7" x14ac:dyDescent="0.45">
      <c r="A35" s="8">
        <v>2</v>
      </c>
      <c r="B35" s="9"/>
      <c r="C35" s="8"/>
      <c r="D35" s="8"/>
      <c r="E35" s="10"/>
      <c r="F35" s="8"/>
      <c r="G35" s="8"/>
    </row>
    <row r="36" spans="1:7" x14ac:dyDescent="0.45">
      <c r="A36" s="107" t="s">
        <v>10</v>
      </c>
      <c r="B36" s="108"/>
      <c r="C36" s="108"/>
      <c r="D36" s="108"/>
      <c r="E36" s="109"/>
      <c r="F36" s="11">
        <f>TRUNC(SUM(F34:F35),2)</f>
        <v>0</v>
      </c>
      <c r="G36" s="11">
        <f>TRUNC(SUM(G34:G35),2)</f>
        <v>0</v>
      </c>
    </row>
    <row r="37" spans="1:7" x14ac:dyDescent="0.45">
      <c r="A37" s="110" t="s">
        <v>11</v>
      </c>
      <c r="B37" s="111"/>
      <c r="C37" s="111"/>
      <c r="D37" s="111"/>
      <c r="E37" s="112"/>
      <c r="F37" s="11">
        <f>F36+F32+F26+F22</f>
        <v>60</v>
      </c>
      <c r="G37" s="11">
        <f>G36+G32+G26+G22</f>
        <v>60</v>
      </c>
    </row>
    <row r="38" spans="1:7" ht="25.25" customHeight="1" x14ac:dyDescent="0.45">
      <c r="A38" s="127" t="s">
        <v>144</v>
      </c>
      <c r="B38" s="128"/>
      <c r="C38" s="128"/>
      <c r="D38" s="128"/>
      <c r="E38" s="128"/>
      <c r="F38" s="128"/>
      <c r="G38" s="128"/>
    </row>
    <row r="39" spans="1:7" ht="60" x14ac:dyDescent="0.45">
      <c r="A39" s="6" t="s">
        <v>0</v>
      </c>
      <c r="B39" s="6" t="s">
        <v>1</v>
      </c>
      <c r="C39" s="6" t="s">
        <v>18</v>
      </c>
      <c r="D39" s="6" t="s">
        <v>3</v>
      </c>
      <c r="E39" s="7" t="s">
        <v>92</v>
      </c>
      <c r="F39" s="6" t="s">
        <v>12</v>
      </c>
      <c r="G39" s="6" t="s">
        <v>48</v>
      </c>
    </row>
    <row r="40" spans="1:7" ht="19.25" customHeight="1" x14ac:dyDescent="0.45">
      <c r="A40" s="129" t="s">
        <v>97</v>
      </c>
      <c r="B40" s="129"/>
      <c r="C40" s="129"/>
      <c r="D40" s="129"/>
      <c r="E40" s="129"/>
      <c r="F40" s="129"/>
      <c r="G40" s="129"/>
    </row>
    <row r="41" spans="1:7" x14ac:dyDescent="0.45">
      <c r="A41" s="8">
        <v>1</v>
      </c>
      <c r="B41" s="12"/>
      <c r="C41" s="10"/>
      <c r="D41" s="12"/>
      <c r="E41" s="10"/>
      <c r="F41" s="12"/>
      <c r="G41" s="12"/>
    </row>
    <row r="42" spans="1:7" x14ac:dyDescent="0.45">
      <c r="A42" s="8">
        <v>2</v>
      </c>
      <c r="B42" s="12"/>
      <c r="C42" s="10"/>
      <c r="D42" s="12"/>
      <c r="E42" s="10"/>
      <c r="F42" s="12"/>
      <c r="G42" s="12"/>
    </row>
    <row r="43" spans="1:7" x14ac:dyDescent="0.45">
      <c r="A43" s="130" t="s">
        <v>13</v>
      </c>
      <c r="B43" s="130"/>
      <c r="C43" s="130"/>
      <c r="D43" s="130"/>
      <c r="E43" s="130"/>
      <c r="F43" s="12"/>
      <c r="G43" s="11">
        <f>TRUNC(SUM(G41:G42),2)</f>
        <v>0</v>
      </c>
    </row>
    <row r="44" spans="1:7" ht="18" customHeight="1" x14ac:dyDescent="0.45">
      <c r="A44" s="129" t="s">
        <v>94</v>
      </c>
      <c r="B44" s="129"/>
      <c r="C44" s="129"/>
      <c r="D44" s="129"/>
      <c r="E44" s="129"/>
      <c r="F44" s="129"/>
      <c r="G44" s="129"/>
    </row>
    <row r="45" spans="1:7" x14ac:dyDescent="0.45">
      <c r="A45" s="8">
        <v>1</v>
      </c>
      <c r="B45" s="12"/>
      <c r="C45" s="10"/>
      <c r="D45" s="12"/>
      <c r="E45" s="10"/>
      <c r="F45" s="12"/>
      <c r="G45" s="12"/>
    </row>
    <row r="46" spans="1:7" ht="14.25" customHeight="1" x14ac:dyDescent="0.45">
      <c r="A46" s="8">
        <v>2</v>
      </c>
      <c r="B46" s="12"/>
      <c r="C46" s="10"/>
      <c r="D46" s="12"/>
      <c r="E46" s="10"/>
      <c r="F46" s="12"/>
      <c r="G46" s="12"/>
    </row>
    <row r="47" spans="1:7" x14ac:dyDescent="0.45">
      <c r="A47" s="107" t="s">
        <v>14</v>
      </c>
      <c r="B47" s="108"/>
      <c r="C47" s="108"/>
      <c r="D47" s="108"/>
      <c r="E47" s="109"/>
      <c r="F47" s="12"/>
      <c r="G47" s="11">
        <f>TRUNC(SUM(G45:G46),2)</f>
        <v>0</v>
      </c>
    </row>
    <row r="48" spans="1:7" ht="17.45" customHeight="1" x14ac:dyDescent="0.45">
      <c r="A48" s="129" t="s">
        <v>95</v>
      </c>
      <c r="B48" s="129"/>
      <c r="C48" s="129"/>
      <c r="D48" s="129"/>
      <c r="E48" s="129"/>
      <c r="F48" s="129"/>
      <c r="G48" s="129"/>
    </row>
    <row r="49" spans="1:7" x14ac:dyDescent="0.45">
      <c r="A49" s="8">
        <v>1</v>
      </c>
      <c r="B49" s="12"/>
      <c r="C49" s="10"/>
      <c r="D49" s="12"/>
      <c r="E49" s="10"/>
      <c r="F49" s="12"/>
      <c r="G49" s="12"/>
    </row>
    <row r="50" spans="1:7" x14ac:dyDescent="0.45">
      <c r="A50" s="8">
        <v>2</v>
      </c>
      <c r="B50" s="12"/>
      <c r="C50" s="10"/>
      <c r="D50" s="12"/>
      <c r="E50" s="10"/>
      <c r="F50" s="12"/>
      <c r="G50" s="12"/>
    </row>
    <row r="51" spans="1:7" x14ac:dyDescent="0.45">
      <c r="A51" s="130" t="s">
        <v>15</v>
      </c>
      <c r="B51" s="130"/>
      <c r="C51" s="130"/>
      <c r="D51" s="130"/>
      <c r="E51" s="130"/>
      <c r="F51" s="12"/>
      <c r="G51" s="11">
        <f>TRUNC(SUM(G49:G50),2)</f>
        <v>0</v>
      </c>
    </row>
    <row r="52" spans="1:7" ht="17.45" customHeight="1" x14ac:dyDescent="0.45">
      <c r="A52" s="129" t="s">
        <v>96</v>
      </c>
      <c r="B52" s="129"/>
      <c r="C52" s="129"/>
      <c r="D52" s="129"/>
      <c r="E52" s="129"/>
      <c r="F52" s="129"/>
      <c r="G52" s="129"/>
    </row>
    <row r="53" spans="1:7" x14ac:dyDescent="0.45">
      <c r="A53" s="8">
        <v>1</v>
      </c>
      <c r="B53" s="12"/>
      <c r="C53" s="10"/>
      <c r="D53" s="12"/>
      <c r="E53" s="10"/>
      <c r="F53" s="12"/>
      <c r="G53" s="12"/>
    </row>
    <row r="54" spans="1:7" x14ac:dyDescent="0.45">
      <c r="A54" s="8">
        <v>2</v>
      </c>
      <c r="B54" s="12"/>
      <c r="C54" s="10"/>
      <c r="D54" s="12"/>
      <c r="E54" s="10"/>
      <c r="F54" s="12"/>
      <c r="G54" s="12"/>
    </row>
    <row r="55" spans="1:7" x14ac:dyDescent="0.45">
      <c r="A55" s="107" t="s">
        <v>16</v>
      </c>
      <c r="B55" s="108"/>
      <c r="C55" s="108"/>
      <c r="D55" s="108"/>
      <c r="E55" s="109"/>
      <c r="F55" s="12"/>
      <c r="G55" s="11">
        <f>TRUNC(SUM(G53:G54),2)</f>
        <v>0</v>
      </c>
    </row>
    <row r="56" spans="1:7" x14ac:dyDescent="0.45">
      <c r="A56" s="110" t="s">
        <v>17</v>
      </c>
      <c r="B56" s="111"/>
      <c r="C56" s="111"/>
      <c r="D56" s="111"/>
      <c r="E56" s="112"/>
      <c r="F56" s="12"/>
      <c r="G56" s="16">
        <f>G55+G51+G47+G43</f>
        <v>0</v>
      </c>
    </row>
    <row r="57" spans="1:7" ht="18.75" customHeight="1" x14ac:dyDescent="0.45">
      <c r="A57" s="110" t="s">
        <v>145</v>
      </c>
      <c r="B57" s="111"/>
      <c r="C57" s="111"/>
      <c r="D57" s="111"/>
      <c r="E57" s="112"/>
      <c r="F57" s="17"/>
      <c r="G57" s="56">
        <f>G56+G37</f>
        <v>60</v>
      </c>
    </row>
    <row r="58" spans="1:7" s="13" customFormat="1" ht="36.75" customHeight="1" x14ac:dyDescent="0.45">
      <c r="A58" s="119" t="s">
        <v>146</v>
      </c>
      <c r="B58" s="91"/>
      <c r="C58" s="91"/>
      <c r="D58" s="91"/>
      <c r="E58" s="91"/>
      <c r="F58" s="91"/>
      <c r="G58" s="120"/>
    </row>
    <row r="59" spans="1:7" s="13" customFormat="1" ht="20.25" customHeight="1" x14ac:dyDescent="0.45">
      <c r="A59" s="113" t="s">
        <v>86</v>
      </c>
      <c r="B59" s="114"/>
      <c r="C59" s="114"/>
      <c r="D59" s="114"/>
      <c r="E59" s="114"/>
      <c r="F59" s="114"/>
      <c r="G59" s="115"/>
    </row>
    <row r="60" spans="1:7" ht="46.15" x14ac:dyDescent="0.45">
      <c r="A60" s="18" t="s">
        <v>0</v>
      </c>
      <c r="B60" s="18" t="s">
        <v>49</v>
      </c>
      <c r="C60" s="18" t="s">
        <v>4</v>
      </c>
      <c r="D60" s="18" t="s">
        <v>50</v>
      </c>
      <c r="E60" s="18" t="s">
        <v>19</v>
      </c>
      <c r="F60" s="18" t="s">
        <v>20</v>
      </c>
      <c r="G60" s="18" t="s">
        <v>21</v>
      </c>
    </row>
    <row r="61" spans="1:7" x14ac:dyDescent="0.45">
      <c r="A61" s="8">
        <v>1</v>
      </c>
      <c r="B61" s="18"/>
      <c r="C61" s="18"/>
      <c r="D61" s="18"/>
      <c r="E61" s="18"/>
      <c r="F61" s="18"/>
      <c r="G61" s="18"/>
    </row>
    <row r="62" spans="1:7" x14ac:dyDescent="0.45">
      <c r="A62" s="8">
        <v>2</v>
      </c>
      <c r="B62" s="18"/>
      <c r="C62" s="18"/>
      <c r="D62" s="18"/>
      <c r="E62" s="18"/>
      <c r="F62" s="18"/>
      <c r="G62" s="18"/>
    </row>
    <row r="63" spans="1:7" x14ac:dyDescent="0.45">
      <c r="A63" s="116" t="s">
        <v>79</v>
      </c>
      <c r="B63" s="117"/>
      <c r="C63" s="117"/>
      <c r="D63" s="117"/>
      <c r="E63" s="117"/>
      <c r="F63" s="118"/>
      <c r="G63" s="11">
        <f>TRUNC(SUM(G61:G62),2)</f>
        <v>0</v>
      </c>
    </row>
    <row r="64" spans="1:7" s="13" customFormat="1" ht="20.25" customHeight="1" x14ac:dyDescent="0.45">
      <c r="A64" s="113" t="s">
        <v>80</v>
      </c>
      <c r="B64" s="114"/>
      <c r="C64" s="114"/>
      <c r="D64" s="114"/>
      <c r="E64" s="114"/>
      <c r="F64" s="114"/>
      <c r="G64" s="115"/>
    </row>
    <row r="65" spans="1:7" ht="46.15" x14ac:dyDescent="0.45">
      <c r="A65" s="18" t="s">
        <v>0</v>
      </c>
      <c r="B65" s="18" t="s">
        <v>49</v>
      </c>
      <c r="C65" s="18" t="s">
        <v>4</v>
      </c>
      <c r="D65" s="18" t="s">
        <v>50</v>
      </c>
      <c r="E65" s="18" t="s">
        <v>19</v>
      </c>
      <c r="F65" s="18" t="s">
        <v>20</v>
      </c>
      <c r="G65" s="18" t="s">
        <v>21</v>
      </c>
    </row>
    <row r="66" spans="1:7" x14ac:dyDescent="0.45">
      <c r="A66" s="8">
        <v>1</v>
      </c>
      <c r="B66" s="18" t="s">
        <v>123</v>
      </c>
      <c r="C66" s="18" t="s">
        <v>124</v>
      </c>
      <c r="D66" s="18"/>
      <c r="E66" s="18">
        <v>1</v>
      </c>
      <c r="F66" s="18" t="s">
        <v>125</v>
      </c>
      <c r="G66" s="18">
        <v>20</v>
      </c>
    </row>
    <row r="67" spans="1:7" x14ac:dyDescent="0.45">
      <c r="A67" s="8">
        <v>2</v>
      </c>
      <c r="B67" s="18"/>
      <c r="C67" s="18"/>
      <c r="D67" s="18"/>
      <c r="E67" s="18"/>
      <c r="F67" s="18"/>
      <c r="G67" s="18"/>
    </row>
    <row r="68" spans="1:7" x14ac:dyDescent="0.45">
      <c r="A68" s="116" t="s">
        <v>82</v>
      </c>
      <c r="B68" s="117"/>
      <c r="C68" s="117"/>
      <c r="D68" s="117"/>
      <c r="E68" s="117"/>
      <c r="F68" s="118"/>
      <c r="G68" s="11">
        <f>TRUNC(SUM(G66:G67),2)</f>
        <v>20</v>
      </c>
    </row>
    <row r="69" spans="1:7" s="13" customFormat="1" ht="20.25" customHeight="1" x14ac:dyDescent="0.45">
      <c r="A69" s="113" t="s">
        <v>87</v>
      </c>
      <c r="B69" s="114"/>
      <c r="C69" s="114"/>
      <c r="D69" s="114"/>
      <c r="E69" s="114"/>
      <c r="F69" s="114"/>
      <c r="G69" s="115"/>
    </row>
    <row r="70" spans="1:7" ht="46.15" x14ac:dyDescent="0.45">
      <c r="A70" s="18" t="s">
        <v>0</v>
      </c>
      <c r="B70" s="18" t="s">
        <v>49</v>
      </c>
      <c r="C70" s="18" t="s">
        <v>4</v>
      </c>
      <c r="D70" s="18" t="s">
        <v>50</v>
      </c>
      <c r="E70" s="18" t="s">
        <v>19</v>
      </c>
      <c r="F70" s="18" t="s">
        <v>20</v>
      </c>
      <c r="G70" s="18" t="s">
        <v>21</v>
      </c>
    </row>
    <row r="71" spans="1:7" x14ac:dyDescent="0.45">
      <c r="A71" s="8">
        <v>1</v>
      </c>
      <c r="B71" s="18"/>
      <c r="C71" s="18"/>
      <c r="D71" s="18"/>
      <c r="E71" s="18"/>
      <c r="F71" s="18"/>
      <c r="G71" s="18"/>
    </row>
    <row r="72" spans="1:7" x14ac:dyDescent="0.45">
      <c r="A72" s="8">
        <v>2</v>
      </c>
      <c r="B72" s="18"/>
      <c r="C72" s="18"/>
      <c r="D72" s="18"/>
      <c r="E72" s="18"/>
      <c r="F72" s="18"/>
      <c r="G72" s="18"/>
    </row>
    <row r="73" spans="1:7" x14ac:dyDescent="0.45">
      <c r="A73" s="116" t="s">
        <v>82</v>
      </c>
      <c r="B73" s="117"/>
      <c r="C73" s="117"/>
      <c r="D73" s="117"/>
      <c r="E73" s="117"/>
      <c r="F73" s="118"/>
      <c r="G73" s="11">
        <f>TRUNC(SUM(G71:G72),2)</f>
        <v>0</v>
      </c>
    </row>
    <row r="74" spans="1:7" s="13" customFormat="1" ht="20.25" customHeight="1" x14ac:dyDescent="0.45">
      <c r="A74" s="113" t="s">
        <v>81</v>
      </c>
      <c r="B74" s="114"/>
      <c r="C74" s="114"/>
      <c r="D74" s="114"/>
      <c r="E74" s="114"/>
      <c r="F74" s="114"/>
      <c r="G74" s="115"/>
    </row>
    <row r="75" spans="1:7" ht="46.15" x14ac:dyDescent="0.45">
      <c r="A75" s="18" t="s">
        <v>0</v>
      </c>
      <c r="B75" s="18" t="s">
        <v>49</v>
      </c>
      <c r="C75" s="18" t="s">
        <v>4</v>
      </c>
      <c r="D75" s="18" t="s">
        <v>50</v>
      </c>
      <c r="E75" s="18" t="s">
        <v>19</v>
      </c>
      <c r="F75" s="18" t="s">
        <v>20</v>
      </c>
      <c r="G75" s="18" t="s">
        <v>21</v>
      </c>
    </row>
    <row r="76" spans="1:7" x14ac:dyDescent="0.45">
      <c r="A76" s="8">
        <v>1</v>
      </c>
      <c r="B76" s="18"/>
      <c r="C76" s="18"/>
      <c r="D76" s="18"/>
      <c r="E76" s="18"/>
      <c r="F76" s="18"/>
      <c r="G76" s="18"/>
    </row>
    <row r="77" spans="1:7" x14ac:dyDescent="0.45">
      <c r="A77" s="8">
        <v>2</v>
      </c>
      <c r="B77" s="18"/>
      <c r="C77" s="18"/>
      <c r="D77" s="18"/>
      <c r="E77" s="18"/>
      <c r="F77" s="18"/>
      <c r="G77" s="18"/>
    </row>
    <row r="78" spans="1:7" x14ac:dyDescent="0.45">
      <c r="A78" s="116" t="s">
        <v>83</v>
      </c>
      <c r="B78" s="117"/>
      <c r="C78" s="117"/>
      <c r="D78" s="117"/>
      <c r="E78" s="117"/>
      <c r="F78" s="118"/>
      <c r="G78" s="11">
        <f>TRUNC(SUM(G76:G77),2)</f>
        <v>0</v>
      </c>
    </row>
    <row r="79" spans="1:7" s="13" customFormat="1" ht="20.25" customHeight="1" x14ac:dyDescent="0.45">
      <c r="A79" s="113" t="s">
        <v>88</v>
      </c>
      <c r="B79" s="114"/>
      <c r="C79" s="114"/>
      <c r="D79" s="114"/>
      <c r="E79" s="114"/>
      <c r="F79" s="114"/>
      <c r="G79" s="115"/>
    </row>
    <row r="80" spans="1:7" ht="46.15" x14ac:dyDescent="0.45">
      <c r="A80" s="18" t="s">
        <v>0</v>
      </c>
      <c r="B80" s="18" t="s">
        <v>49</v>
      </c>
      <c r="C80" s="18" t="s">
        <v>4</v>
      </c>
      <c r="D80" s="19" t="s">
        <v>50</v>
      </c>
      <c r="E80" s="18" t="s">
        <v>19</v>
      </c>
      <c r="F80" s="18" t="s">
        <v>20</v>
      </c>
      <c r="G80" s="18" t="s">
        <v>21</v>
      </c>
    </row>
    <row r="81" spans="1:7" x14ac:dyDescent="0.45">
      <c r="A81" s="8">
        <v>1</v>
      </c>
      <c r="B81" s="15" t="s">
        <v>113</v>
      </c>
      <c r="C81" s="8" t="s">
        <v>115</v>
      </c>
      <c r="D81" s="20"/>
      <c r="E81" s="8">
        <v>2</v>
      </c>
      <c r="F81" s="8" t="s">
        <v>62</v>
      </c>
      <c r="G81" s="8">
        <v>12</v>
      </c>
    </row>
    <row r="82" spans="1:7" x14ac:dyDescent="0.45">
      <c r="A82" s="8">
        <v>2</v>
      </c>
      <c r="B82" s="15" t="s">
        <v>114</v>
      </c>
      <c r="C82" s="8" t="s">
        <v>115</v>
      </c>
      <c r="D82" s="20"/>
      <c r="E82" s="8">
        <v>2</v>
      </c>
      <c r="F82" s="8" t="s">
        <v>62</v>
      </c>
      <c r="G82" s="8">
        <v>12</v>
      </c>
    </row>
    <row r="83" spans="1:7" x14ac:dyDescent="0.45">
      <c r="A83" s="8">
        <v>3</v>
      </c>
      <c r="B83" s="15" t="s">
        <v>116</v>
      </c>
      <c r="C83" s="8" t="s">
        <v>115</v>
      </c>
      <c r="D83" s="20"/>
      <c r="E83" s="8">
        <v>2</v>
      </c>
      <c r="F83" s="8" t="s">
        <v>62</v>
      </c>
      <c r="G83" s="8">
        <v>12</v>
      </c>
    </row>
    <row r="84" spans="1:7" x14ac:dyDescent="0.45">
      <c r="A84" s="8">
        <v>4</v>
      </c>
      <c r="B84" s="15" t="s">
        <v>117</v>
      </c>
      <c r="C84" s="8" t="s">
        <v>115</v>
      </c>
      <c r="D84" s="20"/>
      <c r="E84" s="8">
        <v>2</v>
      </c>
      <c r="F84" s="8" t="s">
        <v>62</v>
      </c>
      <c r="G84" s="8">
        <v>12</v>
      </c>
    </row>
    <row r="85" spans="1:7" x14ac:dyDescent="0.45">
      <c r="A85" s="8">
        <v>5</v>
      </c>
      <c r="B85" s="15" t="s">
        <v>118</v>
      </c>
      <c r="C85" s="8" t="s">
        <v>115</v>
      </c>
      <c r="D85" s="20"/>
      <c r="E85" s="8">
        <v>2</v>
      </c>
      <c r="F85" s="8" t="s">
        <v>62</v>
      </c>
      <c r="G85" s="8">
        <v>12</v>
      </c>
    </row>
    <row r="86" spans="1:7" x14ac:dyDescent="0.45">
      <c r="A86" s="8">
        <v>6</v>
      </c>
      <c r="B86" s="15" t="s">
        <v>119</v>
      </c>
      <c r="C86" s="8" t="s">
        <v>115</v>
      </c>
      <c r="D86" s="20"/>
      <c r="E86" s="8">
        <v>2</v>
      </c>
      <c r="F86" s="8" t="s">
        <v>62</v>
      </c>
      <c r="G86" s="8">
        <v>12</v>
      </c>
    </row>
    <row r="87" spans="1:7" x14ac:dyDescent="0.45">
      <c r="A87" s="8">
        <v>7</v>
      </c>
      <c r="B87" s="15" t="s">
        <v>120</v>
      </c>
      <c r="C87" s="8" t="s">
        <v>115</v>
      </c>
      <c r="D87" s="20"/>
      <c r="E87" s="8">
        <v>2</v>
      </c>
      <c r="F87" s="8" t="s">
        <v>62</v>
      </c>
      <c r="G87" s="8">
        <v>12</v>
      </c>
    </row>
    <row r="88" spans="1:7" x14ac:dyDescent="0.45">
      <c r="A88" s="8">
        <v>8</v>
      </c>
      <c r="B88" s="15" t="s">
        <v>121</v>
      </c>
      <c r="C88" s="8" t="s">
        <v>115</v>
      </c>
      <c r="D88" s="20"/>
      <c r="E88" s="8">
        <v>2</v>
      </c>
      <c r="F88" s="8" t="s">
        <v>62</v>
      </c>
      <c r="G88" s="8">
        <v>8</v>
      </c>
    </row>
    <row r="89" spans="1:7" x14ac:dyDescent="0.45">
      <c r="A89" s="8">
        <v>9</v>
      </c>
      <c r="B89" s="15" t="s">
        <v>122</v>
      </c>
      <c r="C89" s="8" t="s">
        <v>115</v>
      </c>
      <c r="D89" s="20"/>
      <c r="E89" s="8">
        <v>2</v>
      </c>
      <c r="F89" s="8" t="s">
        <v>62</v>
      </c>
      <c r="G89" s="8">
        <v>8</v>
      </c>
    </row>
    <row r="90" spans="1:7" x14ac:dyDescent="0.45">
      <c r="A90" s="116" t="s">
        <v>84</v>
      </c>
      <c r="B90" s="117"/>
      <c r="C90" s="117"/>
      <c r="D90" s="117"/>
      <c r="E90" s="117"/>
      <c r="F90" s="118"/>
      <c r="G90" s="11">
        <f>TRUNC(SUM(G81:G89),2)</f>
        <v>100</v>
      </c>
    </row>
    <row r="91" spans="1:7" x14ac:dyDescent="0.45">
      <c r="A91" s="110" t="s">
        <v>85</v>
      </c>
      <c r="B91" s="111"/>
      <c r="C91" s="111"/>
      <c r="D91" s="111"/>
      <c r="E91" s="111"/>
      <c r="F91" s="112"/>
      <c r="G91" s="42">
        <f>G63+G68+G73+G78+G90</f>
        <v>120</v>
      </c>
    </row>
    <row r="92" spans="1:7" s="13" customFormat="1" ht="36.75" customHeight="1" x14ac:dyDescent="0.45">
      <c r="A92" s="119" t="s">
        <v>147</v>
      </c>
      <c r="B92" s="91"/>
      <c r="C92" s="91"/>
      <c r="D92" s="91"/>
      <c r="E92" s="91"/>
      <c r="F92" s="91"/>
      <c r="G92" s="120"/>
    </row>
    <row r="93" spans="1:7" s="13" customFormat="1" ht="20.25" customHeight="1" x14ac:dyDescent="0.45">
      <c r="A93" s="113" t="s">
        <v>148</v>
      </c>
      <c r="B93" s="114"/>
      <c r="C93" s="114"/>
      <c r="D93" s="114"/>
      <c r="E93" s="114"/>
      <c r="F93" s="114"/>
      <c r="G93" s="115"/>
    </row>
    <row r="94" spans="1:7" ht="30.75" x14ac:dyDescent="0.45">
      <c r="A94" s="18" t="s">
        <v>0</v>
      </c>
      <c r="B94" s="18" t="s">
        <v>149</v>
      </c>
      <c r="C94" s="18" t="s">
        <v>4</v>
      </c>
      <c r="D94" s="18" t="s">
        <v>151</v>
      </c>
      <c r="E94" s="95" t="s">
        <v>152</v>
      </c>
      <c r="F94" s="96"/>
      <c r="G94" s="18" t="s">
        <v>21</v>
      </c>
    </row>
    <row r="95" spans="1:7" x14ac:dyDescent="0.45">
      <c r="A95" s="8">
        <v>1</v>
      </c>
      <c r="B95" s="18"/>
      <c r="C95" s="18"/>
      <c r="D95" s="18"/>
      <c r="E95" s="95"/>
      <c r="F95" s="96"/>
      <c r="G95" s="18"/>
    </row>
    <row r="96" spans="1:7" x14ac:dyDescent="0.45">
      <c r="A96" s="8">
        <v>2</v>
      </c>
      <c r="B96" s="18"/>
      <c r="C96" s="18"/>
      <c r="D96" s="18"/>
      <c r="E96" s="95"/>
      <c r="F96" s="96"/>
      <c r="G96" s="18"/>
    </row>
    <row r="97" spans="1:7" x14ac:dyDescent="0.45">
      <c r="A97" s="116" t="s">
        <v>150</v>
      </c>
      <c r="B97" s="117"/>
      <c r="C97" s="117"/>
      <c r="D97" s="117"/>
      <c r="E97" s="117"/>
      <c r="F97" s="118"/>
      <c r="G97" s="11">
        <f>TRUNC(SUM(G95:G96),2)</f>
        <v>0</v>
      </c>
    </row>
    <row r="98" spans="1:7" s="13" customFormat="1" ht="20.25" customHeight="1" x14ac:dyDescent="0.45">
      <c r="A98" s="113" t="s">
        <v>153</v>
      </c>
      <c r="B98" s="114"/>
      <c r="C98" s="114"/>
      <c r="D98" s="114"/>
      <c r="E98" s="114"/>
      <c r="F98" s="114"/>
      <c r="G98" s="115"/>
    </row>
    <row r="99" spans="1:7" ht="30.75" x14ac:dyDescent="0.45">
      <c r="A99" s="18" t="s">
        <v>0</v>
      </c>
      <c r="B99" s="18" t="s">
        <v>149</v>
      </c>
      <c r="C99" s="18" t="s">
        <v>4</v>
      </c>
      <c r="D99" s="18" t="s">
        <v>151</v>
      </c>
      <c r="E99" s="95" t="s">
        <v>152</v>
      </c>
      <c r="F99" s="96"/>
      <c r="G99" s="18" t="s">
        <v>21</v>
      </c>
    </row>
    <row r="100" spans="1:7" x14ac:dyDescent="0.45">
      <c r="A100" s="8">
        <v>1</v>
      </c>
      <c r="B100" s="18"/>
      <c r="C100" s="18"/>
      <c r="D100" s="18"/>
      <c r="E100" s="95"/>
      <c r="F100" s="96"/>
      <c r="G100" s="18"/>
    </row>
    <row r="101" spans="1:7" x14ac:dyDescent="0.45">
      <c r="A101" s="8">
        <v>2</v>
      </c>
      <c r="B101" s="18"/>
      <c r="C101" s="18"/>
      <c r="D101" s="18"/>
      <c r="E101" s="95"/>
      <c r="F101" s="96"/>
      <c r="G101" s="18"/>
    </row>
    <row r="102" spans="1:7" x14ac:dyDescent="0.45">
      <c r="A102" s="116" t="s">
        <v>154</v>
      </c>
      <c r="B102" s="117"/>
      <c r="C102" s="117"/>
      <c r="D102" s="117"/>
      <c r="E102" s="117"/>
      <c r="F102" s="118"/>
      <c r="G102" s="11">
        <f>TRUNC(SUM(G100:G101),2)</f>
        <v>0</v>
      </c>
    </row>
    <row r="103" spans="1:7" s="13" customFormat="1" ht="20.25" customHeight="1" x14ac:dyDescent="0.45">
      <c r="A103" s="113" t="s">
        <v>199</v>
      </c>
      <c r="B103" s="114"/>
      <c r="C103" s="114"/>
      <c r="D103" s="114"/>
      <c r="E103" s="114"/>
      <c r="F103" s="114"/>
      <c r="G103" s="115"/>
    </row>
    <row r="104" spans="1:7" ht="30.75" x14ac:dyDescent="0.45">
      <c r="A104" s="18" t="s">
        <v>0</v>
      </c>
      <c r="B104" s="18" t="s">
        <v>149</v>
      </c>
      <c r="C104" s="18" t="s">
        <v>4</v>
      </c>
      <c r="D104" s="18" t="s">
        <v>151</v>
      </c>
      <c r="E104" s="95" t="s">
        <v>152</v>
      </c>
      <c r="F104" s="96"/>
      <c r="G104" s="18" t="s">
        <v>21</v>
      </c>
    </row>
    <row r="105" spans="1:7" x14ac:dyDescent="0.45">
      <c r="A105" s="8">
        <v>1</v>
      </c>
      <c r="B105" s="18"/>
      <c r="C105" s="18"/>
      <c r="D105" s="18"/>
      <c r="E105" s="95"/>
      <c r="F105" s="96"/>
      <c r="G105" s="18"/>
    </row>
    <row r="106" spans="1:7" x14ac:dyDescent="0.45">
      <c r="A106" s="8">
        <v>2</v>
      </c>
      <c r="B106" s="18"/>
      <c r="C106" s="18"/>
      <c r="D106" s="18"/>
      <c r="E106" s="95"/>
      <c r="F106" s="96"/>
      <c r="G106" s="18"/>
    </row>
    <row r="107" spans="1:7" x14ac:dyDescent="0.45">
      <c r="A107" s="116" t="s">
        <v>155</v>
      </c>
      <c r="B107" s="117"/>
      <c r="C107" s="117"/>
      <c r="D107" s="117"/>
      <c r="E107" s="117"/>
      <c r="F107" s="118"/>
      <c r="G107" s="11">
        <f>TRUNC(SUM(G105:G106),2)</f>
        <v>0</v>
      </c>
    </row>
    <row r="108" spans="1:7" s="13" customFormat="1" ht="20.25" customHeight="1" x14ac:dyDescent="0.45">
      <c r="A108" s="113" t="s">
        <v>200</v>
      </c>
      <c r="B108" s="114"/>
      <c r="C108" s="114"/>
      <c r="D108" s="114"/>
      <c r="E108" s="114"/>
      <c r="F108" s="114"/>
      <c r="G108" s="115"/>
    </row>
    <row r="109" spans="1:7" ht="30.75" x14ac:dyDescent="0.45">
      <c r="A109" s="18" t="s">
        <v>0</v>
      </c>
      <c r="B109" s="18" t="s">
        <v>149</v>
      </c>
      <c r="C109" s="18" t="s">
        <v>4</v>
      </c>
      <c r="D109" s="18" t="s">
        <v>151</v>
      </c>
      <c r="E109" s="95" t="s">
        <v>152</v>
      </c>
      <c r="F109" s="96"/>
      <c r="G109" s="18" t="s">
        <v>21</v>
      </c>
    </row>
    <row r="110" spans="1:7" x14ac:dyDescent="0.45">
      <c r="A110" s="8">
        <v>1</v>
      </c>
      <c r="B110" s="18"/>
      <c r="C110" s="18"/>
      <c r="D110" s="18"/>
      <c r="E110" s="95"/>
      <c r="F110" s="96"/>
      <c r="G110" s="18"/>
    </row>
    <row r="111" spans="1:7" x14ac:dyDescent="0.45">
      <c r="A111" s="8">
        <v>2</v>
      </c>
      <c r="B111" s="18"/>
      <c r="C111" s="18"/>
      <c r="D111" s="18"/>
      <c r="E111" s="95"/>
      <c r="F111" s="96"/>
      <c r="G111" s="18"/>
    </row>
    <row r="112" spans="1:7" x14ac:dyDescent="0.45">
      <c r="A112" s="116" t="s">
        <v>156</v>
      </c>
      <c r="B112" s="117"/>
      <c r="C112" s="117"/>
      <c r="D112" s="117"/>
      <c r="E112" s="117"/>
      <c r="F112" s="118"/>
      <c r="G112" s="11">
        <f>TRUNC(SUM(G110:G111),2)</f>
        <v>0</v>
      </c>
    </row>
    <row r="113" spans="1:7" s="13" customFormat="1" ht="20.25" customHeight="1" x14ac:dyDescent="0.45">
      <c r="A113" s="113" t="s">
        <v>201</v>
      </c>
      <c r="B113" s="114"/>
      <c r="C113" s="114"/>
      <c r="D113" s="114"/>
      <c r="E113" s="114"/>
      <c r="F113" s="114"/>
      <c r="G113" s="115"/>
    </row>
    <row r="114" spans="1:7" ht="30.75" x14ac:dyDescent="0.45">
      <c r="A114" s="18" t="s">
        <v>0</v>
      </c>
      <c r="B114" s="18" t="s">
        <v>149</v>
      </c>
      <c r="C114" s="18" t="s">
        <v>4</v>
      </c>
      <c r="D114" s="18" t="s">
        <v>151</v>
      </c>
      <c r="E114" s="95" t="s">
        <v>152</v>
      </c>
      <c r="F114" s="96"/>
      <c r="G114" s="18" t="s">
        <v>21</v>
      </c>
    </row>
    <row r="115" spans="1:7" x14ac:dyDescent="0.45">
      <c r="A115" s="8">
        <v>1</v>
      </c>
      <c r="B115" s="18"/>
      <c r="C115" s="18"/>
      <c r="D115" s="18"/>
      <c r="E115" s="95"/>
      <c r="F115" s="96"/>
      <c r="G115" s="18"/>
    </row>
    <row r="116" spans="1:7" x14ac:dyDescent="0.45">
      <c r="A116" s="8">
        <v>2</v>
      </c>
      <c r="B116" s="18"/>
      <c r="C116" s="18"/>
      <c r="D116" s="18"/>
      <c r="E116" s="95"/>
      <c r="F116" s="96"/>
      <c r="G116" s="18"/>
    </row>
    <row r="117" spans="1:7" x14ac:dyDescent="0.45">
      <c r="A117" s="116" t="s">
        <v>157</v>
      </c>
      <c r="B117" s="117"/>
      <c r="C117" s="117"/>
      <c r="D117" s="117"/>
      <c r="E117" s="117"/>
      <c r="F117" s="118"/>
      <c r="G117" s="11">
        <f>TRUNC(SUM(G115:G116),2)</f>
        <v>0</v>
      </c>
    </row>
    <row r="118" spans="1:7" x14ac:dyDescent="0.45">
      <c r="A118" s="110" t="s">
        <v>158</v>
      </c>
      <c r="B118" s="111"/>
      <c r="C118" s="111"/>
      <c r="D118" s="111"/>
      <c r="E118" s="111"/>
      <c r="F118" s="112"/>
      <c r="G118" s="11">
        <f>G97+G102+G107+G112+G117</f>
        <v>0</v>
      </c>
    </row>
    <row r="119" spans="1:7" x14ac:dyDescent="0.45">
      <c r="A119" s="110" t="s">
        <v>159</v>
      </c>
      <c r="B119" s="111"/>
      <c r="C119" s="111"/>
      <c r="D119" s="111"/>
      <c r="E119" s="111"/>
      <c r="F119" s="112"/>
      <c r="G119" s="42">
        <f>G57+G91+G118</f>
        <v>180</v>
      </c>
    </row>
    <row r="120" spans="1:7" s="13" customFormat="1" ht="20.25" customHeight="1" x14ac:dyDescent="0.45">
      <c r="A120" s="121" t="s">
        <v>160</v>
      </c>
      <c r="B120" s="122"/>
      <c r="C120" s="122"/>
      <c r="D120" s="122"/>
      <c r="E120" s="122"/>
      <c r="F120" s="122"/>
      <c r="G120" s="123"/>
    </row>
    <row r="121" spans="1:7" s="13" customFormat="1" ht="20.25" customHeight="1" x14ac:dyDescent="0.45">
      <c r="A121" s="113" t="s">
        <v>171</v>
      </c>
      <c r="B121" s="114"/>
      <c r="C121" s="114"/>
      <c r="D121" s="114"/>
      <c r="E121" s="114"/>
      <c r="F121" s="114"/>
      <c r="G121" s="115"/>
    </row>
    <row r="122" spans="1:7" ht="91.9" x14ac:dyDescent="0.45">
      <c r="A122" s="18" t="s">
        <v>0</v>
      </c>
      <c r="B122" s="18" t="s">
        <v>177</v>
      </c>
      <c r="C122" s="18" t="s">
        <v>178</v>
      </c>
      <c r="D122" s="24" t="s">
        <v>174</v>
      </c>
      <c r="E122" s="18" t="s">
        <v>22</v>
      </c>
      <c r="F122" s="19" t="s">
        <v>23</v>
      </c>
      <c r="G122" s="18" t="s">
        <v>60</v>
      </c>
    </row>
    <row r="123" spans="1:7" ht="76.900000000000006" x14ac:dyDescent="0.45">
      <c r="A123" s="8">
        <v>1</v>
      </c>
      <c r="B123" s="15" t="s">
        <v>127</v>
      </c>
      <c r="C123" s="8" t="s">
        <v>65</v>
      </c>
      <c r="D123" s="20" t="s">
        <v>172</v>
      </c>
      <c r="E123" s="21">
        <v>45987</v>
      </c>
      <c r="F123" s="8" t="s">
        <v>66</v>
      </c>
      <c r="G123" s="8">
        <f>600/2</f>
        <v>300</v>
      </c>
    </row>
    <row r="124" spans="1:7" ht="61.5" x14ac:dyDescent="0.45">
      <c r="A124" s="8">
        <v>2</v>
      </c>
      <c r="B124" s="15" t="s">
        <v>126</v>
      </c>
      <c r="C124" s="8" t="s">
        <v>69</v>
      </c>
      <c r="D124" s="20" t="s">
        <v>172</v>
      </c>
      <c r="E124" s="21">
        <v>45989</v>
      </c>
      <c r="F124" s="8" t="s">
        <v>66</v>
      </c>
      <c r="G124" s="8">
        <v>100</v>
      </c>
    </row>
    <row r="125" spans="1:7" x14ac:dyDescent="0.45">
      <c r="A125" s="107" t="s">
        <v>161</v>
      </c>
      <c r="B125" s="108"/>
      <c r="C125" s="108"/>
      <c r="D125" s="108"/>
      <c r="E125" s="108"/>
      <c r="F125" s="109"/>
      <c r="G125" s="22">
        <f>TRUNC(SUM(G123:G124),2)</f>
        <v>400</v>
      </c>
    </row>
    <row r="126" spans="1:7" s="13" customFormat="1" ht="20.25" customHeight="1" x14ac:dyDescent="0.45">
      <c r="A126" s="113" t="s">
        <v>173</v>
      </c>
      <c r="B126" s="114"/>
      <c r="C126" s="114"/>
      <c r="D126" s="114"/>
      <c r="E126" s="114"/>
      <c r="F126" s="114"/>
      <c r="G126" s="115"/>
    </row>
    <row r="127" spans="1:7" ht="69.599999999999994" customHeight="1" x14ac:dyDescent="0.45">
      <c r="A127" s="18" t="s">
        <v>0</v>
      </c>
      <c r="B127" s="18" t="s">
        <v>176</v>
      </c>
      <c r="C127" s="18" t="s">
        <v>178</v>
      </c>
      <c r="D127" s="24" t="s">
        <v>175</v>
      </c>
      <c r="E127" s="18" t="s">
        <v>22</v>
      </c>
      <c r="F127" s="19" t="s">
        <v>23</v>
      </c>
      <c r="G127" s="18" t="s">
        <v>60</v>
      </c>
    </row>
    <row r="128" spans="1:7" x14ac:dyDescent="0.45">
      <c r="A128" s="8">
        <v>1</v>
      </c>
      <c r="B128" s="15"/>
      <c r="C128" s="8"/>
      <c r="D128" s="20"/>
      <c r="E128" s="21"/>
      <c r="F128" s="8"/>
      <c r="G128" s="8"/>
    </row>
    <row r="129" spans="1:7" x14ac:dyDescent="0.45">
      <c r="A129" s="8">
        <v>2</v>
      </c>
      <c r="B129" s="15"/>
      <c r="C129" s="8"/>
      <c r="D129" s="20"/>
      <c r="E129" s="21"/>
      <c r="F129" s="8"/>
      <c r="G129" s="8"/>
    </row>
    <row r="130" spans="1:7" x14ac:dyDescent="0.45">
      <c r="A130" s="107" t="s">
        <v>162</v>
      </c>
      <c r="B130" s="108"/>
      <c r="C130" s="108"/>
      <c r="D130" s="108"/>
      <c r="E130" s="108"/>
      <c r="F130" s="109"/>
      <c r="G130" s="22">
        <f>TRUNC(SUM(G128:G129),2)</f>
        <v>0</v>
      </c>
    </row>
    <row r="131" spans="1:7" s="13" customFormat="1" ht="20.25" customHeight="1" x14ac:dyDescent="0.45">
      <c r="A131" s="113" t="s">
        <v>179</v>
      </c>
      <c r="B131" s="114"/>
      <c r="C131" s="114"/>
      <c r="D131" s="114"/>
      <c r="E131" s="114"/>
      <c r="F131" s="114"/>
      <c r="G131" s="115"/>
    </row>
    <row r="132" spans="1:7" ht="46.15" x14ac:dyDescent="0.45">
      <c r="A132" s="18" t="s">
        <v>0</v>
      </c>
      <c r="B132" s="18" t="s">
        <v>182</v>
      </c>
      <c r="C132" s="18" t="s">
        <v>30</v>
      </c>
      <c r="D132" s="18" t="s">
        <v>31</v>
      </c>
      <c r="E132" s="18" t="s">
        <v>28</v>
      </c>
      <c r="F132" s="18" t="s">
        <v>29</v>
      </c>
      <c r="G132" s="18" t="s">
        <v>24</v>
      </c>
    </row>
    <row r="133" spans="1:7" x14ac:dyDescent="0.45">
      <c r="A133" s="8">
        <v>1</v>
      </c>
      <c r="B133" s="15"/>
      <c r="C133" s="8"/>
      <c r="D133" s="20"/>
      <c r="E133" s="21"/>
      <c r="F133" s="8"/>
      <c r="G133" s="8"/>
    </row>
    <row r="134" spans="1:7" x14ac:dyDescent="0.45">
      <c r="A134" s="8">
        <v>2</v>
      </c>
      <c r="B134" s="15"/>
      <c r="C134" s="8"/>
      <c r="D134" s="20"/>
      <c r="E134" s="21"/>
      <c r="F134" s="8"/>
      <c r="G134" s="8"/>
    </row>
    <row r="135" spans="1:7" x14ac:dyDescent="0.45">
      <c r="A135" s="107" t="s">
        <v>163</v>
      </c>
      <c r="B135" s="108"/>
      <c r="C135" s="108"/>
      <c r="D135" s="108"/>
      <c r="E135" s="108"/>
      <c r="F135" s="109"/>
      <c r="G135" s="22">
        <f>TRUNC(SUM(G133:G134),2)</f>
        <v>0</v>
      </c>
    </row>
    <row r="136" spans="1:7" s="13" customFormat="1" ht="20.25" customHeight="1" x14ac:dyDescent="0.45">
      <c r="A136" s="113" t="s">
        <v>180</v>
      </c>
      <c r="B136" s="114"/>
      <c r="C136" s="114"/>
      <c r="D136" s="114"/>
      <c r="E136" s="114"/>
      <c r="F136" s="114"/>
      <c r="G136" s="115"/>
    </row>
    <row r="137" spans="1:7" ht="61.5" x14ac:dyDescent="0.45">
      <c r="A137" s="18" t="s">
        <v>0</v>
      </c>
      <c r="B137" s="18" t="s">
        <v>181</v>
      </c>
      <c r="C137" s="18" t="s">
        <v>178</v>
      </c>
      <c r="D137" s="18" t="s">
        <v>183</v>
      </c>
      <c r="E137" s="18" t="s">
        <v>22</v>
      </c>
      <c r="F137" s="19" t="s">
        <v>23</v>
      </c>
      <c r="G137" s="18" t="s">
        <v>60</v>
      </c>
    </row>
    <row r="138" spans="1:7" x14ac:dyDescent="0.45">
      <c r="A138" s="8">
        <v>1</v>
      </c>
      <c r="B138" s="15"/>
      <c r="C138" s="8"/>
      <c r="D138" s="20"/>
      <c r="E138" s="21"/>
      <c r="F138" s="8"/>
      <c r="G138" s="8"/>
    </row>
    <row r="139" spans="1:7" x14ac:dyDescent="0.45">
      <c r="A139" s="8">
        <v>2</v>
      </c>
      <c r="B139" s="15"/>
      <c r="C139" s="8"/>
      <c r="D139" s="20"/>
      <c r="E139" s="21"/>
      <c r="F139" s="8"/>
      <c r="G139" s="8"/>
    </row>
    <row r="140" spans="1:7" x14ac:dyDescent="0.45">
      <c r="A140" s="107" t="s">
        <v>164</v>
      </c>
      <c r="B140" s="108"/>
      <c r="C140" s="108"/>
      <c r="D140" s="108"/>
      <c r="E140" s="108"/>
      <c r="F140" s="109"/>
      <c r="G140" s="22">
        <f>TRUNC(SUM(G138:G139),2)</f>
        <v>0</v>
      </c>
    </row>
    <row r="141" spans="1:7" ht="19.8" customHeight="1" x14ac:dyDescent="0.45">
      <c r="A141" s="92" t="s">
        <v>184</v>
      </c>
      <c r="B141" s="93"/>
      <c r="C141" s="93"/>
      <c r="D141" s="93"/>
      <c r="E141" s="93"/>
      <c r="F141" s="93"/>
      <c r="G141" s="94"/>
    </row>
    <row r="142" spans="1:7" ht="46.15" x14ac:dyDescent="0.45">
      <c r="A142" s="18" t="s">
        <v>0</v>
      </c>
      <c r="B142" s="18" t="s">
        <v>32</v>
      </c>
      <c r="C142" s="18" t="s">
        <v>33</v>
      </c>
      <c r="D142" s="18" t="s">
        <v>34</v>
      </c>
      <c r="E142" s="18" t="s">
        <v>28</v>
      </c>
      <c r="F142" s="18" t="s">
        <v>29</v>
      </c>
      <c r="G142" s="18" t="s">
        <v>24</v>
      </c>
    </row>
    <row r="143" spans="1:7" x14ac:dyDescent="0.45">
      <c r="A143" s="8">
        <v>1</v>
      </c>
      <c r="B143" s="12"/>
      <c r="C143" s="12"/>
      <c r="D143" s="12"/>
      <c r="E143" s="12"/>
      <c r="F143" s="12"/>
      <c r="G143" s="12"/>
    </row>
    <row r="144" spans="1:7" ht="15.75" customHeight="1" x14ac:dyDescent="0.45">
      <c r="A144" s="8">
        <v>2</v>
      </c>
      <c r="B144" s="12"/>
      <c r="C144" s="12"/>
      <c r="D144" s="12"/>
      <c r="E144" s="12"/>
      <c r="F144" s="12"/>
      <c r="G144" s="12"/>
    </row>
    <row r="145" spans="1:7" x14ac:dyDescent="0.45">
      <c r="A145" s="76" t="s">
        <v>165</v>
      </c>
      <c r="B145" s="77"/>
      <c r="C145" s="77"/>
      <c r="D145" s="77"/>
      <c r="E145" s="77"/>
      <c r="F145" s="78"/>
      <c r="G145" s="22">
        <f>TRUNC(SUM(G143:G144),2)</f>
        <v>0</v>
      </c>
    </row>
    <row r="146" spans="1:7" x14ac:dyDescent="0.45">
      <c r="A146" s="124" t="s">
        <v>185</v>
      </c>
      <c r="B146" s="125"/>
      <c r="C146" s="125"/>
      <c r="D146" s="125"/>
      <c r="E146" s="125"/>
      <c r="F146" s="125"/>
      <c r="G146" s="126"/>
    </row>
    <row r="147" spans="1:7" ht="46.15" x14ac:dyDescent="0.45">
      <c r="A147" s="18" t="s">
        <v>0</v>
      </c>
      <c r="B147" s="18" t="s">
        <v>25</v>
      </c>
      <c r="C147" s="18" t="s">
        <v>26</v>
      </c>
      <c r="D147" s="18" t="s">
        <v>27</v>
      </c>
      <c r="E147" s="18" t="s">
        <v>28</v>
      </c>
      <c r="F147" s="18" t="s">
        <v>29</v>
      </c>
      <c r="G147" s="18" t="s">
        <v>24</v>
      </c>
    </row>
    <row r="148" spans="1:7" ht="61.5" x14ac:dyDescent="0.45">
      <c r="A148" s="8">
        <v>1</v>
      </c>
      <c r="B148" s="15" t="s">
        <v>128</v>
      </c>
      <c r="C148" s="20" t="s">
        <v>67</v>
      </c>
      <c r="D148" s="20" t="s">
        <v>104</v>
      </c>
      <c r="E148" s="8">
        <v>3</v>
      </c>
      <c r="F148" s="20" t="s">
        <v>132</v>
      </c>
      <c r="G148" s="8">
        <f>TRUNC(220/2,2)</f>
        <v>110</v>
      </c>
    </row>
    <row r="149" spans="1:7" ht="61.5" x14ac:dyDescent="0.45">
      <c r="A149" s="8">
        <v>2</v>
      </c>
      <c r="B149" s="15" t="s">
        <v>129</v>
      </c>
      <c r="C149" s="20" t="s">
        <v>67</v>
      </c>
      <c r="D149" s="20" t="s">
        <v>68</v>
      </c>
      <c r="E149" s="8">
        <v>5</v>
      </c>
      <c r="F149" s="20" t="s">
        <v>132</v>
      </c>
      <c r="G149" s="8">
        <f>TRUNC(150/3+150*2/3/5,2)</f>
        <v>70</v>
      </c>
    </row>
    <row r="150" spans="1:7" ht="61.5" x14ac:dyDescent="0.45">
      <c r="A150" s="8">
        <v>3</v>
      </c>
      <c r="B150" s="15" t="s">
        <v>130</v>
      </c>
      <c r="C150" s="20" t="s">
        <v>67</v>
      </c>
      <c r="D150" s="20" t="s">
        <v>68</v>
      </c>
      <c r="E150" s="8">
        <v>4</v>
      </c>
      <c r="F150" s="20" t="s">
        <v>131</v>
      </c>
      <c r="G150" s="8">
        <f>TRUNC(150/3/2+150*2/3/4,2)</f>
        <v>50</v>
      </c>
    </row>
    <row r="151" spans="1:7" ht="61.5" x14ac:dyDescent="0.45">
      <c r="A151" s="8">
        <v>4</v>
      </c>
      <c r="B151" s="15" t="s">
        <v>133</v>
      </c>
      <c r="C151" s="20" t="s">
        <v>67</v>
      </c>
      <c r="D151" s="20" t="s">
        <v>104</v>
      </c>
      <c r="E151" s="8">
        <v>3</v>
      </c>
      <c r="F151" s="20" t="s">
        <v>132</v>
      </c>
      <c r="G151" s="8">
        <f>TRUNC(220/2,2)</f>
        <v>110</v>
      </c>
    </row>
    <row r="152" spans="1:7" ht="76.900000000000006" x14ac:dyDescent="0.45">
      <c r="A152" s="8">
        <v>5</v>
      </c>
      <c r="B152" s="15" t="s">
        <v>134</v>
      </c>
      <c r="C152" s="20" t="s">
        <v>135</v>
      </c>
      <c r="D152" s="20" t="s">
        <v>136</v>
      </c>
      <c r="E152" s="8">
        <v>4</v>
      </c>
      <c r="F152" s="20" t="s">
        <v>69</v>
      </c>
      <c r="G152" s="8">
        <f>TRUNC((400*2/3)/4,2)</f>
        <v>66.66</v>
      </c>
    </row>
    <row r="153" spans="1:7" x14ac:dyDescent="0.45">
      <c r="A153" s="107" t="s">
        <v>166</v>
      </c>
      <c r="B153" s="108"/>
      <c r="C153" s="108"/>
      <c r="D153" s="108"/>
      <c r="E153" s="108"/>
      <c r="F153" s="109"/>
      <c r="G153" s="22">
        <f>TRUNC(SUM(G148:G152),2)</f>
        <v>406.66</v>
      </c>
    </row>
    <row r="154" spans="1:7" s="13" customFormat="1" ht="21.75" customHeight="1" x14ac:dyDescent="0.45">
      <c r="A154" s="73" t="s">
        <v>186</v>
      </c>
      <c r="B154" s="74"/>
      <c r="C154" s="74"/>
      <c r="D154" s="74"/>
      <c r="E154" s="74"/>
      <c r="F154" s="74"/>
      <c r="G154" s="75"/>
    </row>
    <row r="155" spans="1:7" ht="39.4" x14ac:dyDescent="0.45">
      <c r="A155" s="18" t="s">
        <v>0</v>
      </c>
      <c r="B155" s="18" t="s">
        <v>35</v>
      </c>
      <c r="C155" s="18" t="s">
        <v>38</v>
      </c>
      <c r="D155" s="19" t="s">
        <v>39</v>
      </c>
      <c r="E155" s="23" t="s">
        <v>36</v>
      </c>
      <c r="F155" s="24" t="s">
        <v>37</v>
      </c>
      <c r="G155" s="18" t="s">
        <v>24</v>
      </c>
    </row>
    <row r="156" spans="1:7" ht="46.15" x14ac:dyDescent="0.45">
      <c r="A156" s="20">
        <v>1</v>
      </c>
      <c r="B156" s="25" t="s">
        <v>202</v>
      </c>
      <c r="C156" s="25"/>
      <c r="D156" s="26">
        <v>45909</v>
      </c>
      <c r="E156" s="20" t="s">
        <v>70</v>
      </c>
      <c r="F156" s="20"/>
      <c r="G156" s="20">
        <f>10/2</f>
        <v>5</v>
      </c>
    </row>
    <row r="157" spans="1:7" ht="46.15" x14ac:dyDescent="0.45">
      <c r="A157" s="20">
        <v>2</v>
      </c>
      <c r="B157" s="25" t="s">
        <v>203</v>
      </c>
      <c r="C157" s="25"/>
      <c r="D157" s="26">
        <v>45909</v>
      </c>
      <c r="E157" s="20" t="s">
        <v>70</v>
      </c>
      <c r="F157" s="20"/>
      <c r="G157" s="20">
        <v>5</v>
      </c>
    </row>
    <row r="158" spans="1:7" ht="76.900000000000006" x14ac:dyDescent="0.45">
      <c r="A158" s="20">
        <v>3</v>
      </c>
      <c r="B158" s="25" t="s">
        <v>204</v>
      </c>
      <c r="C158" s="25"/>
      <c r="D158" s="26">
        <v>45909</v>
      </c>
      <c r="E158" s="20" t="s">
        <v>70</v>
      </c>
      <c r="F158" s="20"/>
      <c r="G158" s="20">
        <f>10/2</f>
        <v>5</v>
      </c>
    </row>
    <row r="159" spans="1:7" x14ac:dyDescent="0.45">
      <c r="A159" s="76" t="s">
        <v>167</v>
      </c>
      <c r="B159" s="77"/>
      <c r="C159" s="77"/>
      <c r="D159" s="77"/>
      <c r="E159" s="77"/>
      <c r="F159" s="78"/>
      <c r="G159" s="22">
        <f>SUM(G156:G158)</f>
        <v>15</v>
      </c>
    </row>
    <row r="160" spans="1:7" s="13" customFormat="1" ht="20.25" customHeight="1" x14ac:dyDescent="0.45">
      <c r="A160" s="73" t="s">
        <v>187</v>
      </c>
      <c r="B160" s="74"/>
      <c r="C160" s="74"/>
      <c r="D160" s="74"/>
      <c r="E160" s="74"/>
      <c r="F160" s="74"/>
      <c r="G160" s="75"/>
    </row>
    <row r="161" spans="1:9" ht="120.6" customHeight="1" x14ac:dyDescent="0.45">
      <c r="A161" s="18" t="s">
        <v>0</v>
      </c>
      <c r="B161" s="27" t="s">
        <v>188</v>
      </c>
      <c r="C161" s="89" t="s">
        <v>190</v>
      </c>
      <c r="D161" s="90"/>
      <c r="E161" s="19" t="s">
        <v>189</v>
      </c>
      <c r="F161" s="23" t="s">
        <v>56</v>
      </c>
      <c r="G161" s="18" t="s">
        <v>24</v>
      </c>
    </row>
    <row r="162" spans="1:9" ht="18.600000000000001" customHeight="1" x14ac:dyDescent="0.45">
      <c r="A162" s="8">
        <v>1</v>
      </c>
      <c r="B162" s="28"/>
      <c r="C162" s="85"/>
      <c r="D162" s="86"/>
      <c r="E162" s="29"/>
      <c r="F162" s="20"/>
      <c r="G162" s="8"/>
    </row>
    <row r="163" spans="1:9" x14ac:dyDescent="0.45">
      <c r="A163" s="8">
        <v>2</v>
      </c>
      <c r="B163" s="25"/>
      <c r="C163" s="87"/>
      <c r="D163" s="88"/>
      <c r="E163" s="30"/>
      <c r="F163" s="30"/>
      <c r="G163" s="30"/>
    </row>
    <row r="164" spans="1:9" x14ac:dyDescent="0.45">
      <c r="A164" s="76" t="s">
        <v>168</v>
      </c>
      <c r="B164" s="77"/>
      <c r="C164" s="77"/>
      <c r="D164" s="77"/>
      <c r="E164" s="77"/>
      <c r="F164" s="78"/>
      <c r="G164" s="22">
        <f>SUM(G162:G163)</f>
        <v>0</v>
      </c>
    </row>
    <row r="165" spans="1:9" x14ac:dyDescent="0.45">
      <c r="A165" s="92" t="s">
        <v>169</v>
      </c>
      <c r="B165" s="93"/>
      <c r="C165" s="93"/>
      <c r="D165" s="93"/>
      <c r="E165" s="93"/>
      <c r="F165" s="93"/>
      <c r="G165" s="94"/>
    </row>
    <row r="166" spans="1:9" ht="77.75" customHeight="1" x14ac:dyDescent="0.45">
      <c r="A166" s="18" t="s">
        <v>0</v>
      </c>
      <c r="B166" s="18" t="s">
        <v>63</v>
      </c>
      <c r="C166" s="95" t="s">
        <v>57</v>
      </c>
      <c r="D166" s="96"/>
      <c r="E166" s="95" t="s">
        <v>64</v>
      </c>
      <c r="F166" s="96"/>
      <c r="G166" s="18" t="s">
        <v>24</v>
      </c>
    </row>
    <row r="167" spans="1:9" x14ac:dyDescent="0.45">
      <c r="A167" s="8">
        <v>1</v>
      </c>
      <c r="B167" s="25"/>
      <c r="C167" s="33"/>
      <c r="D167" s="34"/>
      <c r="E167" s="31"/>
      <c r="F167" s="32"/>
      <c r="G167" s="8"/>
    </row>
    <row r="168" spans="1:9" x14ac:dyDescent="0.45">
      <c r="A168" s="8">
        <v>2</v>
      </c>
      <c r="B168" s="25"/>
      <c r="C168" s="97"/>
      <c r="D168" s="98"/>
      <c r="E168" s="99"/>
      <c r="F168" s="100"/>
      <c r="G168" s="8"/>
    </row>
    <row r="169" spans="1:9" x14ac:dyDescent="0.45">
      <c r="A169" s="76" t="s">
        <v>170</v>
      </c>
      <c r="B169" s="77"/>
      <c r="C169" s="77"/>
      <c r="D169" s="77"/>
      <c r="E169" s="77"/>
      <c r="F169" s="78"/>
      <c r="G169" s="22">
        <f>SUM(G167:G168)</f>
        <v>0</v>
      </c>
    </row>
    <row r="170" spans="1:9" x14ac:dyDescent="0.45">
      <c r="A170" s="36"/>
      <c r="B170" s="36"/>
      <c r="C170" s="36"/>
      <c r="D170" s="36"/>
      <c r="E170" s="36"/>
      <c r="F170" s="37"/>
      <c r="G170" s="37"/>
    </row>
    <row r="171" spans="1:9" x14ac:dyDescent="0.45">
      <c r="A171" s="62" t="s">
        <v>191</v>
      </c>
      <c r="B171" s="62"/>
      <c r="C171" s="62"/>
      <c r="D171" s="62"/>
      <c r="E171" s="62"/>
      <c r="F171" s="63">
        <f>TRUNC(G125+G130+G135+G140+G145+G153+G159+G164+G169,2)</f>
        <v>821.66</v>
      </c>
      <c r="G171" s="63"/>
      <c r="I171" s="55"/>
    </row>
    <row r="172" spans="1:9" x14ac:dyDescent="0.45">
      <c r="A172" s="38"/>
      <c r="B172" s="39"/>
      <c r="C172" s="39"/>
      <c r="D172" s="39"/>
      <c r="E172" s="39"/>
      <c r="F172" s="40"/>
      <c r="G172" s="41"/>
    </row>
    <row r="173" spans="1:9" s="5" customFormat="1" x14ac:dyDescent="0.45">
      <c r="A173" s="91" t="s">
        <v>198</v>
      </c>
      <c r="B173" s="91"/>
      <c r="C173" s="91"/>
      <c r="D173" s="91"/>
      <c r="E173" s="91"/>
      <c r="F173" s="91"/>
      <c r="G173" s="91"/>
    </row>
    <row r="174" spans="1:9" ht="33.4" customHeight="1" x14ac:dyDescent="0.45">
      <c r="A174" s="6" t="s">
        <v>0</v>
      </c>
      <c r="B174" s="79" t="s">
        <v>40</v>
      </c>
      <c r="C174" s="80"/>
      <c r="D174" s="81"/>
      <c r="E174" s="6" t="s">
        <v>41</v>
      </c>
      <c r="F174" s="79" t="s">
        <v>47</v>
      </c>
      <c r="G174" s="81"/>
    </row>
    <row r="175" spans="1:9" x14ac:dyDescent="0.45">
      <c r="A175" s="35" t="s">
        <v>42</v>
      </c>
      <c r="B175" s="66" t="s">
        <v>192</v>
      </c>
      <c r="C175" s="67"/>
      <c r="D175" s="68"/>
      <c r="E175" s="11">
        <f>G119</f>
        <v>180</v>
      </c>
      <c r="F175" s="101"/>
      <c r="G175" s="102"/>
    </row>
    <row r="176" spans="1:9" ht="17" customHeight="1" x14ac:dyDescent="0.45">
      <c r="A176" s="35" t="s">
        <v>43</v>
      </c>
      <c r="B176" s="66" t="s">
        <v>193</v>
      </c>
      <c r="C176" s="67"/>
      <c r="D176" s="68"/>
      <c r="E176" s="14">
        <v>280</v>
      </c>
      <c r="F176" s="103"/>
      <c r="G176" s="104"/>
    </row>
    <row r="177" spans="1:7" x14ac:dyDescent="0.45">
      <c r="A177" s="35" t="s">
        <v>44</v>
      </c>
      <c r="B177" s="66" t="s">
        <v>101</v>
      </c>
      <c r="C177" s="67"/>
      <c r="D177" s="68"/>
      <c r="E177" s="14">
        <f>IF(F171&gt;=200,0,200-F171)</f>
        <v>0</v>
      </c>
      <c r="F177" s="103"/>
      <c r="G177" s="104"/>
    </row>
    <row r="178" spans="1:7" x14ac:dyDescent="0.45">
      <c r="A178" s="35" t="s">
        <v>45</v>
      </c>
      <c r="B178" s="66" t="s">
        <v>102</v>
      </c>
      <c r="C178" s="67"/>
      <c r="D178" s="68"/>
      <c r="E178" s="14">
        <v>0</v>
      </c>
      <c r="F178" s="103"/>
      <c r="G178" s="104"/>
    </row>
    <row r="179" spans="1:7" x14ac:dyDescent="0.45">
      <c r="A179" s="35" t="s">
        <v>46</v>
      </c>
      <c r="B179" s="82" t="s">
        <v>100</v>
      </c>
      <c r="C179" s="83"/>
      <c r="D179" s="84"/>
      <c r="E179" s="11">
        <f>IF(E175-E176-E177+E178&lt;=0,0,E175-E176-E177+E178)</f>
        <v>0</v>
      </c>
      <c r="F179" s="103"/>
      <c r="G179" s="104"/>
    </row>
    <row r="180" spans="1:7" ht="31.8" customHeight="1" x14ac:dyDescent="0.45">
      <c r="A180" s="35" t="s">
        <v>99</v>
      </c>
      <c r="B180" s="69" t="s">
        <v>206</v>
      </c>
      <c r="C180" s="70"/>
      <c r="D180" s="71"/>
      <c r="E180" s="57">
        <f>IF(E179&gt;E176-E178,E176-E178,E179)</f>
        <v>0</v>
      </c>
      <c r="F180" s="105"/>
      <c r="G180" s="106"/>
    </row>
    <row r="181" spans="1:7" x14ac:dyDescent="0.45">
      <c r="A181" s="36"/>
      <c r="B181" s="43"/>
      <c r="C181" s="43"/>
      <c r="D181" s="43"/>
      <c r="E181" s="44"/>
      <c r="F181" s="45"/>
      <c r="G181" s="45"/>
    </row>
    <row r="182" spans="1:7" ht="19.5" customHeight="1" x14ac:dyDescent="0.45">
      <c r="A182" s="72" t="s">
        <v>196</v>
      </c>
      <c r="B182" s="72"/>
      <c r="C182" s="72"/>
      <c r="D182" s="72"/>
      <c r="E182" s="72"/>
      <c r="F182" s="72"/>
      <c r="G182" s="72"/>
    </row>
    <row r="183" spans="1:7" ht="64.25" customHeight="1" x14ac:dyDescent="0.45">
      <c r="A183" s="47" t="s">
        <v>0</v>
      </c>
      <c r="B183" s="48" t="s">
        <v>89</v>
      </c>
      <c r="C183" s="49" t="s">
        <v>90</v>
      </c>
      <c r="D183" s="49" t="s">
        <v>205</v>
      </c>
      <c r="E183" s="48" t="s">
        <v>194</v>
      </c>
      <c r="F183" s="48" t="s">
        <v>195</v>
      </c>
      <c r="G183" s="48" t="s">
        <v>197</v>
      </c>
    </row>
    <row r="184" spans="1:7" ht="19.5" customHeight="1" x14ac:dyDescent="0.45">
      <c r="A184" s="50">
        <v>1</v>
      </c>
      <c r="B184" s="51" t="s">
        <v>58</v>
      </c>
      <c r="C184" s="52">
        <f>SUMIF($E$19:$E$26,B184,$G$19:$G$26)+SUMIF($E$41:$E$47,B184,$G$41:$G$47)</f>
        <v>60</v>
      </c>
      <c r="D184" s="52">
        <f>SUMIF($E$29:$E$35,B184,$G$29:$G$35)+SUMIF($E$49:$E$55,B184,$G$49:$G$55)</f>
        <v>0</v>
      </c>
      <c r="E184" s="52">
        <f>G63</f>
        <v>0</v>
      </c>
      <c r="F184" s="52">
        <f>G97</f>
        <v>0</v>
      </c>
      <c r="G184" s="52">
        <f>SUM(C184:F184)</f>
        <v>60</v>
      </c>
    </row>
    <row r="185" spans="1:7" ht="19.5" customHeight="1" x14ac:dyDescent="0.45">
      <c r="A185" s="50">
        <v>2</v>
      </c>
      <c r="B185" s="51" t="s">
        <v>72</v>
      </c>
      <c r="C185" s="52">
        <f>SUMIF($E$19:$E$26,B185,$G$19:$G$26)+SUMIF($E$41:$E$47,B185,$G$41:$G$47)</f>
        <v>0</v>
      </c>
      <c r="D185" s="52">
        <f>SUMIF($E$29:$E$35,B185,$G$29:$G$35)+SUMIF($E$49:$E$55,B185,$G$49:$G$55)</f>
        <v>0</v>
      </c>
      <c r="E185" s="52">
        <f>G68</f>
        <v>20</v>
      </c>
      <c r="F185" s="52">
        <f>G102</f>
        <v>0</v>
      </c>
      <c r="G185" s="52">
        <f t="shared" ref="G185:G188" si="0">SUM(C185:F185)</f>
        <v>20</v>
      </c>
    </row>
    <row r="186" spans="1:7" ht="19.5" customHeight="1" x14ac:dyDescent="0.45">
      <c r="A186" s="50">
        <v>3</v>
      </c>
      <c r="B186" s="51" t="s">
        <v>73</v>
      </c>
      <c r="C186" s="52">
        <f>SUMIF($E$19:$E$26,B186,$G$19:$G$26)+SUMIF($E$41:$E$47,B186,$G$41:$G$47)</f>
        <v>0</v>
      </c>
      <c r="D186" s="52">
        <f>SUMIF($E$29:$E$35,B186,$G$29:$G$35)+SUMIF($E$49:$E$55,B186,$G$49:$G$55)</f>
        <v>0</v>
      </c>
      <c r="E186" s="52">
        <f>G107</f>
        <v>0</v>
      </c>
      <c r="F186" s="52">
        <f>G107</f>
        <v>0</v>
      </c>
      <c r="G186" s="52">
        <f t="shared" si="0"/>
        <v>0</v>
      </c>
    </row>
    <row r="187" spans="1:7" ht="19.5" customHeight="1" x14ac:dyDescent="0.45">
      <c r="A187" s="50">
        <v>4</v>
      </c>
      <c r="B187" s="51" t="s">
        <v>78</v>
      </c>
      <c r="C187" s="52">
        <f>SUMIF($E$19:$E$26,B187,$G$19:$G$26)+SUMIF($E$41:$E$47,B187,$G$41:$G$47)</f>
        <v>0</v>
      </c>
      <c r="D187" s="52">
        <f>SUMIF($E$29:$E$35,B187,$G$29:$G$35)+SUMIF($E$49:$E$55,B187,$G$49:$G$55)</f>
        <v>0</v>
      </c>
      <c r="E187" s="52">
        <f>G78</f>
        <v>0</v>
      </c>
      <c r="F187" s="52">
        <f>G112</f>
        <v>0</v>
      </c>
      <c r="G187" s="52">
        <f t="shared" si="0"/>
        <v>0</v>
      </c>
    </row>
    <row r="188" spans="1:7" ht="19.25" customHeight="1" x14ac:dyDescent="0.45">
      <c r="A188" s="50">
        <v>5</v>
      </c>
      <c r="B188" s="54" t="s">
        <v>74</v>
      </c>
      <c r="C188" s="52">
        <f>SUMIF($E$19:$E$26,B188,$G$19:$G$26)+SUMIF($E$41:$E$47,B188,$G$41:$G$47)</f>
        <v>0</v>
      </c>
      <c r="D188" s="52">
        <f>SUMIF($E$29:$E$35,B188,$G$29:$G$35)+SUMIF($E$49:$E$55,B188,$G$49:$G$55)</f>
        <v>0</v>
      </c>
      <c r="E188" s="52">
        <f>G90</f>
        <v>100</v>
      </c>
      <c r="F188" s="52">
        <f>G117</f>
        <v>0</v>
      </c>
      <c r="G188" s="52">
        <f t="shared" si="0"/>
        <v>100</v>
      </c>
    </row>
    <row r="189" spans="1:7" ht="17" customHeight="1" x14ac:dyDescent="0.45">
      <c r="A189" s="64" t="s">
        <v>75</v>
      </c>
      <c r="B189" s="65"/>
      <c r="C189" s="53">
        <f>SUM(C184:C188)</f>
        <v>60</v>
      </c>
      <c r="D189" s="53">
        <f>SUM(D184:D188)</f>
        <v>0</v>
      </c>
      <c r="E189" s="53">
        <f t="shared" ref="E189:F189" si="1">SUM(E184:E188)</f>
        <v>120</v>
      </c>
      <c r="F189" s="53">
        <f t="shared" si="1"/>
        <v>0</v>
      </c>
      <c r="G189" s="53">
        <f>SUM(C189:F189)</f>
        <v>180</v>
      </c>
    </row>
    <row r="190" spans="1:7" ht="19.5" customHeight="1" x14ac:dyDescent="0.45">
      <c r="A190" s="46"/>
      <c r="B190" s="46"/>
      <c r="C190" s="46"/>
      <c r="D190" s="46"/>
      <c r="E190" s="46"/>
      <c r="F190" s="46"/>
      <c r="G190" s="46"/>
    </row>
    <row r="191" spans="1:7" ht="41.45" customHeight="1" x14ac:dyDescent="0.45">
      <c r="A191" s="58" t="s">
        <v>76</v>
      </c>
      <c r="B191" s="58"/>
      <c r="C191" s="58"/>
      <c r="D191" s="58" t="s">
        <v>59</v>
      </c>
      <c r="E191" s="59"/>
      <c r="F191" s="59"/>
    </row>
    <row r="197" spans="1:6" ht="24" customHeight="1" x14ac:dyDescent="0.45">
      <c r="A197" s="60" t="s">
        <v>106</v>
      </c>
      <c r="B197" s="60"/>
      <c r="C197" s="60"/>
      <c r="D197" s="60" t="s">
        <v>105</v>
      </c>
      <c r="E197" s="61"/>
      <c r="F197" s="61"/>
    </row>
  </sheetData>
  <mergeCells count="121">
    <mergeCell ref="A118:F118"/>
    <mergeCell ref="A126:G126"/>
    <mergeCell ref="A130:F130"/>
    <mergeCell ref="A131:G131"/>
    <mergeCell ref="A135:F135"/>
    <mergeCell ref="A136:G136"/>
    <mergeCell ref="A140:F140"/>
    <mergeCell ref="E109:F109"/>
    <mergeCell ref="E110:F110"/>
    <mergeCell ref="E111:F111"/>
    <mergeCell ref="A112:F112"/>
    <mergeCell ref="A113:G113"/>
    <mergeCell ref="E114:F114"/>
    <mergeCell ref="E115:F115"/>
    <mergeCell ref="E116:F116"/>
    <mergeCell ref="A117:F117"/>
    <mergeCell ref="A28:G28"/>
    <mergeCell ref="A32:E32"/>
    <mergeCell ref="A33:G33"/>
    <mergeCell ref="A36:E36"/>
    <mergeCell ref="A37:E37"/>
    <mergeCell ref="A10:C10"/>
    <mergeCell ref="A11:E11"/>
    <mergeCell ref="A12:D12"/>
    <mergeCell ref="A13:G13"/>
    <mergeCell ref="A26:E26"/>
    <mergeCell ref="A18:G18"/>
    <mergeCell ref="A16:G16"/>
    <mergeCell ref="A15:G15"/>
    <mergeCell ref="A23:G23"/>
    <mergeCell ref="A22:E22"/>
    <mergeCell ref="A6:G6"/>
    <mergeCell ref="A7:G7"/>
    <mergeCell ref="A9:C9"/>
    <mergeCell ref="D9:F9"/>
    <mergeCell ref="A1:C1"/>
    <mergeCell ref="A2:C2"/>
    <mergeCell ref="A3:C3"/>
    <mergeCell ref="D1:G1"/>
    <mergeCell ref="D2:G2"/>
    <mergeCell ref="D3:G3"/>
    <mergeCell ref="A5:G5"/>
    <mergeCell ref="A56:E56"/>
    <mergeCell ref="A58:G58"/>
    <mergeCell ref="A120:G120"/>
    <mergeCell ref="A121:G121"/>
    <mergeCell ref="A125:F125"/>
    <mergeCell ref="A146:G146"/>
    <mergeCell ref="A55:E55"/>
    <mergeCell ref="A38:G38"/>
    <mergeCell ref="A40:G40"/>
    <mergeCell ref="A43:E43"/>
    <mergeCell ref="A44:G44"/>
    <mergeCell ref="A47:E47"/>
    <mergeCell ref="A48:G48"/>
    <mergeCell ref="A51:E51"/>
    <mergeCell ref="A52:G52"/>
    <mergeCell ref="A98:G98"/>
    <mergeCell ref="E99:F99"/>
    <mergeCell ref="E100:F100"/>
    <mergeCell ref="E101:F101"/>
    <mergeCell ref="A102:F102"/>
    <mergeCell ref="A103:G103"/>
    <mergeCell ref="E104:F104"/>
    <mergeCell ref="E105:F105"/>
    <mergeCell ref="E106:F106"/>
    <mergeCell ref="A153:F153"/>
    <mergeCell ref="A57:E57"/>
    <mergeCell ref="A119:F119"/>
    <mergeCell ref="A59:G59"/>
    <mergeCell ref="A63:F63"/>
    <mergeCell ref="A64:G64"/>
    <mergeCell ref="A68:F68"/>
    <mergeCell ref="A69:G69"/>
    <mergeCell ref="A73:F73"/>
    <mergeCell ref="A74:G74"/>
    <mergeCell ref="A78:F78"/>
    <mergeCell ref="A91:F91"/>
    <mergeCell ref="A79:G79"/>
    <mergeCell ref="A90:F90"/>
    <mergeCell ref="A97:F97"/>
    <mergeCell ref="E95:F95"/>
    <mergeCell ref="E96:F96"/>
    <mergeCell ref="A141:G141"/>
    <mergeCell ref="A145:F145"/>
    <mergeCell ref="A92:G92"/>
    <mergeCell ref="A93:G93"/>
    <mergeCell ref="E94:F94"/>
    <mergeCell ref="A107:F107"/>
    <mergeCell ref="A108:G108"/>
    <mergeCell ref="A154:G154"/>
    <mergeCell ref="A159:F159"/>
    <mergeCell ref="A160:G160"/>
    <mergeCell ref="B174:D174"/>
    <mergeCell ref="F174:G174"/>
    <mergeCell ref="B179:D179"/>
    <mergeCell ref="C162:D162"/>
    <mergeCell ref="C163:D163"/>
    <mergeCell ref="C161:D161"/>
    <mergeCell ref="A164:F164"/>
    <mergeCell ref="A173:G173"/>
    <mergeCell ref="A165:G165"/>
    <mergeCell ref="C166:D166"/>
    <mergeCell ref="E166:F166"/>
    <mergeCell ref="C168:D168"/>
    <mergeCell ref="E168:F168"/>
    <mergeCell ref="A169:F169"/>
    <mergeCell ref="F175:G180"/>
    <mergeCell ref="A191:C191"/>
    <mergeCell ref="D191:F191"/>
    <mergeCell ref="A197:C197"/>
    <mergeCell ref="D197:F197"/>
    <mergeCell ref="A171:E171"/>
    <mergeCell ref="F171:G171"/>
    <mergeCell ref="A189:B189"/>
    <mergeCell ref="B175:D175"/>
    <mergeCell ref="B176:D176"/>
    <mergeCell ref="B177:D177"/>
    <mergeCell ref="B178:D178"/>
    <mergeCell ref="B180:D180"/>
    <mergeCell ref="A182:G182"/>
  </mergeCells>
  <phoneticPr fontId="13" type="noConversion"/>
  <pageMargins left="0.31496062992125984" right="0.19685039370078741" top="0.39370078740157483" bottom="0.39370078740157483" header="0.31496062992125984" footer="0.31496062992125984"/>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81696F7-AEF1-461E-9F38-7A438D53AEEF}">
          <x14:formula1>
            <xm:f>'Dữ liệu không xóa'!$A$10:$A$14</xm:f>
          </x14:formula1>
          <xm:sqref>E19:E21 E24:E25 E29:E31 E34:E35 E41:E42 E45:E46 E49:E50 E53:E54</xm:sqref>
        </x14:dataValidation>
        <x14:dataValidation type="list" allowBlank="1" showInputMessage="1" showErrorMessage="1" xr:uid="{5AE62D9A-274A-4627-A166-0CCA46096AE3}">
          <x14:formula1>
            <xm:f>'Dữ liệu không xóa'!$A$2:$A$5</xm:f>
          </x14:formula1>
          <xm:sqref>C53:C54 C49:C50 C41:C42 C45:C46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4"/>
  <sheetViews>
    <sheetView workbookViewId="0">
      <selection activeCell="D15" sqref="D15"/>
    </sheetView>
  </sheetViews>
  <sheetFormatPr defaultColWidth="8.86328125" defaultRowHeight="16.899999999999999" x14ac:dyDescent="0.5"/>
  <cols>
    <col min="1" max="1" width="22" style="2" customWidth="1"/>
    <col min="2" max="2" width="19.06640625" style="2" customWidth="1"/>
    <col min="3" max="3" width="24.06640625" style="2" customWidth="1"/>
    <col min="4" max="16384" width="8.86328125" style="2"/>
  </cols>
  <sheetData>
    <row r="1" spans="1:3" x14ac:dyDescent="0.5">
      <c r="A1" s="1" t="s">
        <v>91</v>
      </c>
      <c r="B1" s="1"/>
      <c r="C1" s="1"/>
    </row>
    <row r="2" spans="1:3" x14ac:dyDescent="0.5">
      <c r="A2" s="2" t="s">
        <v>142</v>
      </c>
    </row>
    <row r="3" spans="1:3" x14ac:dyDescent="0.5">
      <c r="A3" s="2" t="s">
        <v>140</v>
      </c>
    </row>
    <row r="4" spans="1:3" x14ac:dyDescent="0.5">
      <c r="A4" s="2" t="s">
        <v>141</v>
      </c>
    </row>
    <row r="5" spans="1:3" x14ac:dyDescent="0.5">
      <c r="A5" s="2" t="s">
        <v>143</v>
      </c>
    </row>
    <row r="9" spans="1:3" x14ac:dyDescent="0.5">
      <c r="A9" s="1" t="s">
        <v>71</v>
      </c>
    </row>
    <row r="10" spans="1:3" x14ac:dyDescent="0.5">
      <c r="A10" s="2" t="s">
        <v>58</v>
      </c>
    </row>
    <row r="11" spans="1:3" x14ac:dyDescent="0.5">
      <c r="A11" s="2" t="s">
        <v>72</v>
      </c>
    </row>
    <row r="12" spans="1:3" x14ac:dyDescent="0.5">
      <c r="A12" s="2" t="s">
        <v>73</v>
      </c>
    </row>
    <row r="13" spans="1:3" x14ac:dyDescent="0.5">
      <c r="A13" s="2" t="s">
        <v>78</v>
      </c>
    </row>
    <row r="14" spans="1:3" x14ac:dyDescent="0.5">
      <c r="A14" s="2" t="s">
        <v>74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TK giảng dạy vượt giờ</vt:lpstr>
      <vt:lpstr>Dữ liệu không xóa</vt:lpstr>
      <vt:lpstr>'TK giảng dạy vượt giờ'!Print_Area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2026-04-06T14:52:24Z</dcterms:modified>
</cp:coreProperties>
</file>